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2" r:id="rId1"/>
  </sheets>
  <definedNames>
    <definedName name="_xlnm._FilterDatabase" localSheetId="0" hidden="1">'Actual pending as on today (2)'!$3:$116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<sst xmlns="http://schemas.openxmlformats.org/spreadsheetml/2006/main" count="749" uniqueCount="344">
  <si>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</si>
  <si>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</si>
  <si>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</si>
  <si>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</si>
  <si>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</si>
  <si>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</si>
  <si>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</si>
  <si>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</si>
  <si>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</si>
  <si>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</si>
  <si>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</si>
  <si>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</si>
  <si>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</si>
  <si>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</si>
  <si>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</si>
  <si>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</si>
  <si>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</si>
  <si>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</si>
  <si>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</si>
  <si>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</si>
  <si>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</si>
  <si>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</si>
  <si>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</si>
  <si>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</si>
  <si>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</si>
  <si>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</si>
  <si>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</si>
  <si>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</si>
  <si>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</si>
  <si>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</si>
  <si>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</si>
  <si>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</si>
  <si>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BN-2627/607</t>
  </si>
  <si>
    <t>02/06/2026</t>
  </si>
  <si>
    <t>Unit-7, old</t>
  </si>
  <si>
    <t>MEDREICH LIMITED</t>
  </si>
  <si>
    <t>Repeat Job</t>
  </si>
  <si>
    <t>1227499 - PRINTED CARTON CHEMIST OWNCOUG C&amp;F D/N CAP CRTN4X12-WOA</t>
  </si>
  <si>
    <t>BN-2627/0777</t>
  </si>
  <si>
    <t>Pondy</t>
  </si>
  <si>
    <t>CAPLIN POINT LABORATORIES LTD-UNIT -1</t>
  </si>
  <si>
    <t>113014496 - PTD. CARTON - PAMIDRONATE DISODIUM FOR INFUSION 90MG (LYOPHILIZED)-1X10ML (PRE-PRINTED)</t>
  </si>
  <si>
    <t>CS END PENDING</t>
  </si>
  <si>
    <t>BN-2627/782</t>
  </si>
  <si>
    <t>Indalavadi</t>
  </si>
  <si>
    <t>STRIDES PHARMA SCIENCE LIMITED</t>
  </si>
  <si>
    <t>1054390 - PCT-OSELTA CAPS-75MG-1X10 S-SPI.,US-R3</t>
  </si>
  <si>
    <t>BN-2627/817</t>
  </si>
  <si>
    <t>Bommasandra</t>
  </si>
  <si>
    <t>ADCOCK INGRAM LIMITED</t>
  </si>
  <si>
    <t>1230173 - ADCO-ATENOLOL TABLETS 50 MG 3 X 10S - CARTONS - WOA</t>
  </si>
  <si>
    <t>GPN done</t>
  </si>
  <si>
    <t>BN-2627/834</t>
  </si>
  <si>
    <t>Hyderabad</t>
  </si>
  <si>
    <t>Annora Pharma Private Limited</t>
  </si>
  <si>
    <t>2107161 - PRINTED CARTON OXCAPIN (OXCARBAZEPINE TABLETS 0.3G) 5X10S HETERO PHARM (BEIJING)</t>
  </si>
  <si>
    <t>BN-2627/875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</si>
  <si>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</si>
  <si>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</si>
  <si>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</si>
  <si>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</si>
  <si>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BN-2627/926</t>
  </si>
  <si>
    <t>2104936 - PLAIN CARTON (45X55X90MM)</t>
  </si>
  <si>
    <t>BN-2627/991</t>
  </si>
  <si>
    <t>08/07/2026</t>
  </si>
  <si>
    <t xml:space="preserve">Unit-7, old 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</si>
  <si>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</si>
  <si>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</si>
  <si>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</si>
  <si>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</si>
  <si>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</si>
  <si>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</si>
  <si>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</si>
  <si>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</si>
  <si>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</si>
  <si>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</si>
  <si>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</si>
  <si>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</si>
  <si>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</si>
  <si>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</si>
  <si>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</si>
  <si>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</si>
  <si>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</si>
  <si>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</si>
  <si>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</si>
  <si>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</si>
  <si>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</si>
  <si>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</si>
  <si>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</si>
  <si>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</si>
  <si>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</si>
  <si>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</si>
  <si>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</si>
  <si>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</si>
  <si>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</si>
  <si>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</si>
  <si>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</si>
  <si>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</si>
  <si>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</si>
  <si>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</si>
  <si>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</si>
  <si>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</si>
  <si>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</si>
  <si>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</si>
  <si>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</si>
  <si>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</si>
  <si>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</si>
  <si>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</si>
  <si>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</si>
  <si>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</si>
  <si>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</si>
  <si>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</si>
  <si>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</si>
  <si>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</si>
  <si>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</si>
  <si>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</si>
  <si>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</si>
  <si>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</si>
  <si>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</si>
  <si>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</si>
  <si>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</si>
  <si>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</si>
  <si>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</si>
  <si>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</si>
  <si>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</si>
  <si>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</si>
  <si>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</si>
  <si>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</si>
  <si>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</si>
  <si>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</si>
  <si>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</si>
  <si>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</si>
  <si>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</si>
  <si>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</si>
  <si>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</si>
  <si>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</si>
  <si>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PLANNED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</si>
  <si>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</si>
  <si>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</si>
  <si>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</si>
  <si>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</si>
  <si>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</si>
  <si>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</si>
  <si>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</si>
  <si>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</si>
  <si>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</si>
  <si>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</si>
  <si>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</si>
  <si>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</si>
  <si>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</si>
  <si>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</si>
  <si>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</si>
  <si>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</si>
  <si>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</si>
  <si>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</si>
  <si>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</si>
  <si>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</si>
  <si>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</si>
  <si>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</si>
  <si>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</si>
  <si>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</si>
  <si>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</si>
  <si>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</si>
  <si>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</si>
  <si>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</si>
  <si>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</si>
  <si>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</si>
  <si>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</si>
  <si>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</si>
  <si>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</si>
  <si>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PLANNING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</si>
  <si>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</si>
  <si>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</si>
  <si>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</si>
  <si>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</si>
  <si>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</si>
  <si>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</si>
  <si>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</si>
  <si>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</si>
  <si>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</si>
  <si>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</si>
  <si>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</si>
  <si>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</si>
  <si>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</si>
  <si>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</si>
  <si>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</si>
  <si>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</si>
  <si>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</si>
  <si>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</si>
  <si>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</si>
  <si>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</si>
  <si>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</si>
  <si>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</si>
  <si>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</si>
  <si>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</si>
  <si>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</si>
  <si>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</si>
  <si>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</si>
  <si>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</si>
  <si>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</si>
  <si>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</si>
  <si>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BN-2627/1233</t>
  </si>
  <si>
    <t>1229703 - PRINTED CARTON IBUDEINE TABLETS PRINTED CARTON 3X10S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</si>
  <si>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</si>
  <si>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</si>
  <si>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</si>
  <si>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</si>
  <si>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</si>
  <si>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</si>
  <si>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BN-2627/1255</t>
  </si>
  <si>
    <t>1052737 - PCT- KCL OS-20MEQ-100S-KESIN PHARMA-US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</si>
  <si>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</si>
  <si>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</si>
  <si>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</si>
  <si>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</si>
  <si>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</si>
  <si>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</si>
  <si>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</si>
  <si>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</si>
  <si>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</si>
  <si>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</si>
  <si>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</si>
  <si>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</si>
  <si>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</si>
  <si>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</si>
  <si>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</si>
  <si>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</si>
  <si>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PO Awaited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</si>
  <si>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</si>
  <si>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</si>
  <si>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</si>
  <si>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</si>
  <si>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</si>
  <si>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</si>
  <si>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</si>
  <si>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</si>
  <si>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</si>
  <si>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</si>
  <si>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</si>
  <si>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</si>
  <si>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</si>
  <si>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</si>
  <si>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</si>
  <si>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</si>
  <si>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</si>
  <si>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</si>
  <si>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</si>
  <si>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</si>
  <si>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</si>
  <si>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</si>
  <si>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</si>
  <si>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</si>
  <si>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BN-2627/1293</t>
  </si>
  <si>
    <t>1053035 - PCT-AMITRPTYLN TABLETS 50MG-5X10S-WAGNER</t>
  </si>
  <si>
    <t>sc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</si>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</sst>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_ "/>
    <numFmt numFmtId="182" formatCode="0_);[Red]\(0\)"/>
    <numFmt numFmtId="183" formatCode="0.00_ 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1" fontId="0" fillId="0" borderId="2" xfId="0" applyNumberFormat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182" fontId="0" fillId="0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1" fontId="0" fillId="0" borderId="0" xfId="0" applyNumberFormat="1" applyFill="1" applyBorder="1" applyAlignment="1">
      <alignment vertical="center"/>
    </xf>
    <xf numFmtId="0" fontId="5" fillId="0" borderId="2" xfId="0" applyFont="1" applyBorder="1" applyAlignment="1">
      <alignment horizontal="center" vertical="center"/>
    </xf>
    <xf numFmtId="180" fontId="5" fillId="0" borderId="2" xfId="0" applyNumberFormat="1" applyFont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180" fontId="5" fillId="6" borderId="2" xfId="0" applyNumberFormat="1" applyFont="1" applyFill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183" fontId="5" fillId="0" borderId="2" xfId="0" applyNumberFormat="1" applyFont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184" fontId="0" fillId="0" borderId="2" xfId="0" applyNumberFormat="1" applyFill="1" applyBorder="1" applyAlignment="1">
      <alignment horizontal="center" vertical="center"/>
    </xf>
    <xf numFmtId="181" fontId="0" fillId="0" borderId="6" xfId="0" applyNumberFormat="1" applyBorder="1" applyAlignment="1">
      <alignment vertical="center"/>
    </xf>
    <xf numFmtId="181" fontId="0" fillId="0" borderId="0" xfId="0" applyNumberFormat="1" applyFill="1" applyBorder="1"/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1" fontId="0" fillId="0" borderId="6" xfId="0" applyNumberFormat="1" applyFill="1" applyBorder="1" applyAlignment="1">
      <alignment vertical="center"/>
    </xf>
    <xf numFmtId="180" fontId="5" fillId="6" borderId="2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6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92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I19" sqref="I19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/>
      <c r="C4" s="26"/>
      <c r="D4" s="25"/>
      <c r="E4" s="26"/>
      <c r="F4" s="27" t="s">
        <v>27</v>
      </c>
      <c r="G4" s="28" t="s">
        <v>28</v>
      </c>
      <c r="H4" s="28" t="s">
        <v>29</v>
      </c>
      <c r="I4" s="27" t="s">
        <v>30</v>
      </c>
      <c r="J4" s="28">
        <v>7000</v>
      </c>
      <c r="K4" s="29">
        <v>7000</v>
      </c>
      <c r="L4" s="30"/>
      <c r="M4" s="31">
        <v>49700</v>
      </c>
      <c r="N4" s="26" t="s">
        <v>31</v>
      </c>
      <c r="O4" s="26"/>
      <c r="P4" s="25"/>
      <c r="Q4" s="25"/>
      <c r="R4" s="25"/>
      <c r="S4" s="32"/>
      <c r="T4" s="33"/>
      <c r="U4" s="34"/>
      <c r="V4" s="35"/>
      <c r="X4" s="36"/>
      <c r="Y4" s="37"/>
      <c r="Z4" s="38"/>
      <c r="AA4" s="39"/>
      <c r="AC4" s="37"/>
    </row>
    <row r="5" s="1" customFormat="1" ht="14.1" customHeight="1" spans="1:29 16380:16384">
      <c r="A5" s="40" t="s">
        <v>32</v>
      </c>
      <c r="B5" s="41">
        <v>46182</v>
      </c>
      <c r="C5" s="25">
        <v>4510209457</v>
      </c>
      <c r="D5" s="42" t="s">
        <v>33</v>
      </c>
      <c r="E5" s="43" t="s">
        <v>34</v>
      </c>
      <c r="F5" s="44" t="s">
        <v>35</v>
      </c>
      <c r="G5" s="35" t="s">
        <v>36</v>
      </c>
      <c r="H5" s="45">
        <v>1227499</v>
      </c>
      <c r="I5" s="45" t="s">
        <v>37</v>
      </c>
      <c r="J5" s="40">
        <v>10000</v>
      </c>
      <c r="K5" s="46">
        <v>2.862</v>
      </c>
      <c r="L5" s="40">
        <v>10000</v>
      </c>
      <c r="M5" s="40">
        <v>28620</v>
      </c>
      <c r="N5" s="47" t="s">
        <v>31</v>
      </c>
      <c r="O5" s="47"/>
      <c r="P5" s="25"/>
      <c r="Q5" s="42">
        <v>46254</v>
      </c>
      <c r="R5" s="42">
        <v>46259</v>
      </c>
      <c r="S5" s="48">
        <v>46259</v>
      </c>
      <c r="T5" s="33">
        <f ca="1" t="shared" ref="T5:T17" si="0">TODAY()-B5</f>
        <v>79</v>
      </c>
      <c r="U5" s="49"/>
      <c r="V5" s="47"/>
      <c r="W5" s="50">
        <f>+P5-B5</f>
        <v>-46182</v>
      </c>
    </row>
    <row r="6" s="1" customFormat="1" ht="14.1" customHeight="1" spans="1:29 16380:16384">
      <c r="A6" s="47" t="s">
        <v>38</v>
      </c>
      <c r="B6" s="51">
        <v>46196</v>
      </c>
      <c r="C6" s="42">
        <v>111042271</v>
      </c>
      <c r="D6" s="42">
        <v>46192</v>
      </c>
      <c r="E6" s="52" t="s">
        <v>39</v>
      </c>
      <c r="F6" s="30" t="s">
        <v>40</v>
      </c>
      <c r="G6" s="47" t="s">
        <v>36</v>
      </c>
      <c r="H6" s="53">
        <v>113014496</v>
      </c>
      <c r="I6" s="53" t="s">
        <v>41</v>
      </c>
      <c r="J6" s="47">
        <v>4200</v>
      </c>
      <c r="K6" s="29">
        <v>4</v>
      </c>
      <c r="L6" s="47">
        <v>4200</v>
      </c>
      <c r="M6" s="47">
        <v>16800</v>
      </c>
      <c r="N6" s="47" t="s">
        <v>42</v>
      </c>
      <c r="O6" s="42"/>
      <c r="P6" s="42">
        <v>46199</v>
      </c>
      <c r="Q6" s="42"/>
      <c r="R6" s="42"/>
      <c r="S6" s="48"/>
      <c r="T6" s="33">
        <f ca="1" t="shared" si="0"/>
        <v>65</v>
      </c>
      <c r="U6" s="54"/>
      <c r="V6" s="47"/>
      <c r="W6" s="50">
        <f>+P6-B6</f>
        <v>3</v>
      </c>
    </row>
    <row r="7" s="1" customFormat="1" ht="14.1" customHeight="1" spans="1:29 16380:16384">
      <c r="A7" s="47" t="s">
        <v>43</v>
      </c>
      <c r="B7" s="55">
        <v>46197</v>
      </c>
      <c r="C7" s="42">
        <v>8110000728</v>
      </c>
      <c r="D7" s="42">
        <v>46196</v>
      </c>
      <c r="E7" s="52" t="s">
        <v>44</v>
      </c>
      <c r="F7" s="30" t="s">
        <v>45</v>
      </c>
      <c r="G7" s="47" t="s">
        <v>36</v>
      </c>
      <c r="H7" s="53">
        <v>1054390</v>
      </c>
      <c r="I7" s="53" t="s">
        <v>46</v>
      </c>
      <c r="J7" s="47">
        <v>495000</v>
      </c>
      <c r="K7" s="29">
        <v>1.28</v>
      </c>
      <c r="L7" s="47">
        <f>495000-325000</f>
        <v>170000</v>
      </c>
      <c r="M7" s="47">
        <f>+L7*K7</f>
        <v>217600</v>
      </c>
      <c r="N7" s="47" t="s">
        <v>31</v>
      </c>
      <c r="O7" s="42">
        <v>46199</v>
      </c>
      <c r="P7" s="42">
        <v>46253</v>
      </c>
      <c r="Q7" s="42">
        <v>46253</v>
      </c>
      <c r="R7" s="42">
        <v>46255</v>
      </c>
      <c r="S7" s="48">
        <v>46258</v>
      </c>
      <c r="T7" s="33">
        <f ca="1" t="shared" si="0"/>
        <v>64</v>
      </c>
      <c r="U7" s="54"/>
      <c r="V7" s="47"/>
      <c r="W7" s="50"/>
    </row>
    <row r="8" s="1" customFormat="1" ht="14.1" customHeight="1" spans="1:29 16380:16384">
      <c r="A8" s="47" t="s">
        <v>47</v>
      </c>
      <c r="B8" s="51">
        <v>46200</v>
      </c>
      <c r="C8" s="42">
        <v>4510210313</v>
      </c>
      <c r="D8" s="42">
        <v>46200</v>
      </c>
      <c r="E8" s="52" t="s">
        <v>48</v>
      </c>
      <c r="F8" s="30" t="s">
        <v>49</v>
      </c>
      <c r="G8" s="47" t="s">
        <v>36</v>
      </c>
      <c r="H8" s="53">
        <v>1230173</v>
      </c>
      <c r="I8" s="53" t="s">
        <v>50</v>
      </c>
      <c r="J8" s="47">
        <v>100000</v>
      </c>
      <c r="K8" s="29">
        <v>1.09</v>
      </c>
      <c r="L8" s="47">
        <v>100000</v>
      </c>
      <c r="M8" s="47">
        <v>109000</v>
      </c>
      <c r="N8" s="47" t="s">
        <v>31</v>
      </c>
      <c r="O8" s="42">
        <v>46200</v>
      </c>
      <c r="P8" s="42">
        <v>46204</v>
      </c>
      <c r="Q8" s="42">
        <v>46233</v>
      </c>
      <c r="R8" s="42">
        <v>46234</v>
      </c>
      <c r="S8" s="48"/>
      <c r="T8" s="33">
        <f ca="1" t="shared" si="0"/>
        <v>61</v>
      </c>
      <c r="U8" s="54"/>
      <c r="V8" s="3"/>
      <c r="W8" s="50">
        <f>+P8-O8</f>
        <v>4</v>
      </c>
      <c r="Z8" s="1" t="s">
        <v>51</v>
      </c>
    </row>
    <row r="9" s="1" customFormat="1" ht="14.1" customHeight="1" spans="1:29 16380:16384">
      <c r="A9" s="47" t="s">
        <v>52</v>
      </c>
      <c r="B9" s="51">
        <v>46204</v>
      </c>
      <c r="C9" s="42">
        <v>9500214401</v>
      </c>
      <c r="D9" s="42">
        <v>46202</v>
      </c>
      <c r="E9" s="52" t="s">
        <v>53</v>
      </c>
      <c r="F9" s="30" t="s">
        <v>54</v>
      </c>
      <c r="G9" s="47" t="s">
        <v>36</v>
      </c>
      <c r="H9" s="53">
        <v>2107161</v>
      </c>
      <c r="I9" s="53" t="s">
        <v>55</v>
      </c>
      <c r="J9" s="47">
        <v>263500</v>
      </c>
      <c r="K9" s="29">
        <v>1.75</v>
      </c>
      <c r="L9" s="47">
        <v>263500</v>
      </c>
      <c r="M9" s="47">
        <v>461125</v>
      </c>
      <c r="N9" s="47" t="s">
        <v>31</v>
      </c>
      <c r="O9" s="42">
        <v>46204</v>
      </c>
      <c r="P9" s="42">
        <v>46211</v>
      </c>
      <c r="Q9" s="42">
        <v>46214</v>
      </c>
      <c r="R9" s="42">
        <v>46216</v>
      </c>
      <c r="S9" s="48"/>
      <c r="T9" s="33">
        <f ca="1" t="shared" si="0"/>
        <v>57</v>
      </c>
      <c r="U9" s="54"/>
      <c r="V9" s="56"/>
      <c r="W9" s="50">
        <f>+P9-O9</f>
        <v>7</v>
      </c>
      <c r="Z9" s="1" t="s">
        <v>51</v>
      </c>
    </row>
    <row r="10" s="1" customFormat="1" ht="14.1" customHeight="1" spans="1:29 16380:16384">
      <c r="A10" s="47" t="s">
        <v>56</v>
      </c>
      <c r="B10" s="51">
        <v>46205</v>
      </c>
      <c r="C10" s="42">
        <v>4000315711</v>
      </c>
      <c r="D10" s="42">
        <v>46203</v>
      </c>
      <c r="E10" s="52" t="s">
        <v>48</v>
      </c>
      <c r="F10" s="30" t="s">
        <v>57</v>
      </c>
      <c r="G10" s="47" t="s">
        <v>36</v>
      </c>
      <c r="H10" s="53">
        <v>650012485</v>
      </c>
      <c r="I10" s="57" t="s">
        <v>58</v>
      </c>
      <c r="J10" s="47">
        <v>5000</v>
      </c>
      <c r="K10" s="29">
        <v>6.9</v>
      </c>
      <c r="L10" s="47">
        <v>5000</v>
      </c>
      <c r="M10" s="47">
        <v>34500</v>
      </c>
      <c r="N10" s="47" t="s">
        <v>42</v>
      </c>
      <c r="O10" s="42">
        <v>46205</v>
      </c>
      <c r="P10" s="42">
        <v>46206</v>
      </c>
      <c r="Q10" s="42"/>
      <c r="R10" s="42"/>
      <c r="S10" s="42"/>
      <c r="T10" s="33">
        <f ca="1" t="shared" si="0"/>
        <v>56</v>
      </c>
      <c r="U10" s="54"/>
      <c r="V10" s="3"/>
      <c r="W10" s="50">
        <f>+P10-O10</f>
        <v>1</v>
      </c>
    </row>
    <row r="11" s="1" customFormat="1" ht="14.1" customHeight="1" spans="1:29 16380:16384">
      <c r="A11" s="47" t="s">
        <v>59</v>
      </c>
      <c r="B11" s="51">
        <v>46205</v>
      </c>
      <c r="C11" s="42">
        <v>4000315711</v>
      </c>
      <c r="D11" s="42">
        <v>46203</v>
      </c>
      <c r="E11" s="52" t="s">
        <v>48</v>
      </c>
      <c r="F11" s="30" t="s">
        <v>57</v>
      </c>
      <c r="G11" s="47" t="s">
        <v>36</v>
      </c>
      <c r="H11" s="53">
        <v>650012486</v>
      </c>
      <c r="I11" s="57" t="s">
        <v>60</v>
      </c>
      <c r="J11" s="47">
        <v>12000</v>
      </c>
      <c r="K11" s="29">
        <v>4.56</v>
      </c>
      <c r="L11" s="47">
        <v>12000</v>
      </c>
      <c r="M11" s="47">
        <v>54720</v>
      </c>
      <c r="N11" s="47" t="s">
        <v>42</v>
      </c>
      <c r="O11" s="42">
        <v>46205</v>
      </c>
      <c r="P11" s="42">
        <v>46206</v>
      </c>
      <c r="Q11" s="42"/>
      <c r="R11" s="42"/>
      <c r="S11" s="42"/>
      <c r="T11" s="33">
        <f ca="1" t="shared" si="0"/>
        <v>56</v>
      </c>
      <c r="U11" s="54"/>
      <c r="V11" s="3"/>
      <c r="W11" s="50">
        <f>+P11-O11</f>
        <v>1</v>
      </c>
    </row>
    <row r="12" s="1" customFormat="1" ht="14.1" customHeight="1" spans="1:29 16380:16384">
      <c r="A12" s="47" t="s">
        <v>61</v>
      </c>
      <c r="B12" s="51">
        <v>46210</v>
      </c>
      <c r="C12" s="42">
        <v>9500217205</v>
      </c>
      <c r="D12" s="42">
        <v>46210</v>
      </c>
      <c r="E12" s="52" t="s">
        <v>53</v>
      </c>
      <c r="F12" s="30" t="s">
        <v>54</v>
      </c>
      <c r="G12" s="47" t="s">
        <v>36</v>
      </c>
      <c r="H12" s="53">
        <v>2104936</v>
      </c>
      <c r="I12" s="53" t="s">
        <v>62</v>
      </c>
      <c r="J12" s="47">
        <v>5000</v>
      </c>
      <c r="K12" s="29">
        <v>4.35</v>
      </c>
      <c r="L12" s="47">
        <v>5000</v>
      </c>
      <c r="M12" s="47">
        <v>21750</v>
      </c>
      <c r="N12" s="47" t="s">
        <v>31</v>
      </c>
      <c r="O12" s="42">
        <v>46211</v>
      </c>
      <c r="P12" s="42">
        <v>46213</v>
      </c>
      <c r="Q12" s="42"/>
      <c r="R12" s="42">
        <v>46242</v>
      </c>
      <c r="S12" s="48"/>
      <c r="T12" s="33">
        <f ca="1" t="shared" si="0"/>
        <v>51</v>
      </c>
      <c r="U12" s="54"/>
      <c r="V12" s="3"/>
      <c r="W12" s="50">
        <f>+P12-O12</f>
        <v>2</v>
      </c>
    </row>
    <row r="13" s="1" customFormat="1" ht="11" customHeight="1" spans="1:29 16380:16384">
      <c r="A13" s="47" t="s">
        <v>63</v>
      </c>
      <c r="B13" s="51">
        <v>46220</v>
      </c>
      <c r="C13" s="42"/>
      <c r="D13" s="42" t="s">
        <v>64</v>
      </c>
      <c r="E13" s="52" t="s">
        <v>65</v>
      </c>
      <c r="F13" s="58" t="s">
        <v>35</v>
      </c>
      <c r="G13" s="47" t="s">
        <v>36</v>
      </c>
      <c r="H13" s="53">
        <v>1227499</v>
      </c>
      <c r="I13" s="59" t="s">
        <v>37</v>
      </c>
      <c r="J13" s="47">
        <v>7100</v>
      </c>
      <c r="K13" s="29">
        <v>2.862</v>
      </c>
      <c r="L13" s="47">
        <v>7100</v>
      </c>
      <c r="M13" s="47">
        <f>+L13*K13</f>
        <v>20320.2</v>
      </c>
      <c r="N13" s="47" t="s">
        <v>31</v>
      </c>
      <c r="O13" s="42">
        <v>46224</v>
      </c>
      <c r="P13" s="42">
        <v>46226</v>
      </c>
      <c r="Q13" s="42">
        <v>46254</v>
      </c>
      <c r="R13" s="42">
        <v>46259</v>
      </c>
      <c r="S13" s="48">
        <v>46259</v>
      </c>
      <c r="T13" s="33">
        <f ca="1" t="shared" si="0"/>
        <v>41</v>
      </c>
      <c r="U13" s="60"/>
      <c r="V13" s="3"/>
      <c r="XEZ13" s="61"/>
      <c r="XFA13" s="62"/>
      <c r="XFB13" s="63"/>
      <c r="XFC13" s="63"/>
      <c r="XFD13" s="64"/>
    </row>
    <row r="14" s="1" customFormat="1" ht="14.1" customHeight="1" spans="1:29 16380:16384">
      <c r="A14" s="47" t="s">
        <v>66</v>
      </c>
      <c r="B14" s="51">
        <v>46220</v>
      </c>
      <c r="C14" s="42"/>
      <c r="D14" s="42" t="s">
        <v>67</v>
      </c>
      <c r="E14" s="52" t="s">
        <v>68</v>
      </c>
      <c r="F14" s="30" t="s">
        <v>69</v>
      </c>
      <c r="G14" s="47" t="s">
        <v>36</v>
      </c>
      <c r="H14" s="53" t="s">
        <v>70</v>
      </c>
      <c r="I14" s="53" t="s">
        <v>71</v>
      </c>
      <c r="J14" s="47">
        <v>11000</v>
      </c>
      <c r="K14" s="29">
        <v>3.7</v>
      </c>
      <c r="L14" s="47">
        <v>11000</v>
      </c>
      <c r="M14" s="47">
        <f>+L14*K14</f>
        <v>40700</v>
      </c>
      <c r="N14" s="47" t="s">
        <v>31</v>
      </c>
      <c r="O14" s="42">
        <v>46224</v>
      </c>
      <c r="P14" s="42">
        <v>46225</v>
      </c>
      <c r="Q14" s="42">
        <v>46227</v>
      </c>
      <c r="R14" s="42">
        <v>46230</v>
      </c>
      <c r="S14" s="48"/>
      <c r="T14" s="33">
        <f ca="1" t="shared" si="0"/>
        <v>41</v>
      </c>
      <c r="U14" s="60"/>
      <c r="V14" s="56"/>
      <c r="Z14" s="1" t="s">
        <v>51</v>
      </c>
      <c r="XEZ14" s="61"/>
      <c r="XFA14" s="62"/>
      <c r="XFB14" s="63"/>
      <c r="XFC14" s="63"/>
      <c r="XFD14" s="64"/>
    </row>
    <row r="15" s="1" customFormat="1" ht="14.1" customHeight="1" spans="1:29 16380:16384">
      <c r="A15" s="47" t="s">
        <v>72</v>
      </c>
      <c r="B15" s="51">
        <v>46220</v>
      </c>
      <c r="C15" s="42"/>
      <c r="D15" s="42" t="s">
        <v>67</v>
      </c>
      <c r="E15" s="52" t="s">
        <v>73</v>
      </c>
      <c r="F15" s="30" t="s">
        <v>74</v>
      </c>
      <c r="G15" s="47" t="s">
        <v>28</v>
      </c>
      <c r="H15" s="53" t="s">
        <v>75</v>
      </c>
      <c r="I15" s="53" t="s">
        <v>76</v>
      </c>
      <c r="J15" s="47">
        <v>80000</v>
      </c>
      <c r="K15" s="29">
        <v>1.3</v>
      </c>
      <c r="L15" s="47">
        <v>80000</v>
      </c>
      <c r="M15" s="47">
        <f>+L15*K15</f>
        <v>104000</v>
      </c>
      <c r="N15" s="47" t="s">
        <v>77</v>
      </c>
      <c r="O15" s="42">
        <v>46226</v>
      </c>
      <c r="P15" s="42">
        <v>46237</v>
      </c>
      <c r="Q15" s="42"/>
      <c r="R15" s="42"/>
      <c r="S15" s="42"/>
      <c r="T15" s="33">
        <f ca="1" t="shared" si="0"/>
        <v>41</v>
      </c>
      <c r="U15" s="60"/>
      <c r="V15" s="3"/>
      <c r="XEZ15" s="61"/>
      <c r="XFA15" s="62"/>
      <c r="XFB15" s="63"/>
      <c r="XFC15" s="63"/>
      <c r="XFD15" s="64"/>
    </row>
    <row r="16" s="1" customFormat="1" ht="14.1" customHeight="1" spans="1:29 16380:16384">
      <c r="A16" s="47" t="s">
        <v>78</v>
      </c>
      <c r="B16" s="51">
        <v>46223</v>
      </c>
      <c r="C16" s="42">
        <v>4510211214</v>
      </c>
      <c r="D16" s="42">
        <v>46220</v>
      </c>
      <c r="E16" s="52" t="s">
        <v>48</v>
      </c>
      <c r="F16" s="30" t="s">
        <v>49</v>
      </c>
      <c r="G16" s="47" t="s">
        <v>36</v>
      </c>
      <c r="H16" s="53">
        <v>1226334</v>
      </c>
      <c r="I16" s="53" t="s">
        <v>79</v>
      </c>
      <c r="J16" s="47">
        <v>31000</v>
      </c>
      <c r="K16" s="29">
        <v>7.25</v>
      </c>
      <c r="L16" s="47">
        <v>31000</v>
      </c>
      <c r="M16" s="47">
        <v>224750</v>
      </c>
      <c r="N16" s="47" t="s">
        <v>80</v>
      </c>
      <c r="O16" s="42">
        <v>46224</v>
      </c>
      <c r="P16" s="42"/>
      <c r="Q16" s="42"/>
      <c r="R16" s="42"/>
      <c r="S16" s="42"/>
      <c r="T16" s="33">
        <f ca="1" t="shared" si="0"/>
        <v>38</v>
      </c>
      <c r="U16" s="60"/>
      <c r="V16" s="3"/>
      <c r="XEZ16" s="61"/>
      <c r="XFA16" s="62"/>
      <c r="XFB16" s="63"/>
      <c r="XFC16" s="63"/>
      <c r="XFD16" s="64"/>
    </row>
    <row r="17" s="1" customFormat="1" ht="14.1" customHeight="1" spans="1:26 16380:16384">
      <c r="A17" s="47" t="s">
        <v>81</v>
      </c>
      <c r="B17" s="51">
        <v>46227</v>
      </c>
      <c r="C17" s="42">
        <v>9500221584</v>
      </c>
      <c r="D17" s="42">
        <v>46226</v>
      </c>
      <c r="E17" s="52" t="s">
        <v>82</v>
      </c>
      <c r="F17" s="30" t="s">
        <v>83</v>
      </c>
      <c r="G17" s="47" t="s">
        <v>36</v>
      </c>
      <c r="H17" s="53">
        <v>2108156</v>
      </c>
      <c r="I17" s="53" t="s">
        <v>84</v>
      </c>
      <c r="J17" s="47">
        <v>130000</v>
      </c>
      <c r="K17" s="29">
        <v>2.3</v>
      </c>
      <c r="L17" s="47">
        <v>130000</v>
      </c>
      <c r="M17" s="47">
        <v>299000</v>
      </c>
      <c r="N17" s="47" t="s">
        <v>31</v>
      </c>
      <c r="O17" s="42">
        <v>46228</v>
      </c>
      <c r="P17" s="42">
        <v>46239</v>
      </c>
      <c r="Q17" s="42">
        <v>46239</v>
      </c>
      <c r="R17" s="42">
        <v>46241</v>
      </c>
      <c r="S17" s="48">
        <v>46258</v>
      </c>
      <c r="T17" s="33">
        <f ca="1" t="shared" si="0"/>
        <v>34</v>
      </c>
      <c r="U17" s="42"/>
      <c r="V17" s="3"/>
      <c r="Z17" s="1" t="s">
        <v>85</v>
      </c>
      <c r="XEZ17" s="61"/>
      <c r="XFA17" s="62"/>
      <c r="XFB17" s="63"/>
      <c r="XFC17" s="63"/>
      <c r="XFD17" s="64"/>
    </row>
    <row r="18" s="1" customFormat="1" ht="14.1" customHeight="1" spans="1:26 16380:16384">
      <c r="A18" s="47" t="s">
        <v>86</v>
      </c>
      <c r="B18" s="51">
        <v>46232</v>
      </c>
      <c r="C18" s="42">
        <v>4000317429</v>
      </c>
      <c r="D18" s="42">
        <v>46224</v>
      </c>
      <c r="E18" s="52" t="s">
        <v>48</v>
      </c>
      <c r="F18" s="58" t="s">
        <v>57</v>
      </c>
      <c r="G18" s="47" t="s">
        <v>36</v>
      </c>
      <c r="H18" s="53">
        <v>650009483</v>
      </c>
      <c r="I18" s="53" t="s">
        <v>87</v>
      </c>
      <c r="J18" s="47">
        <v>1000</v>
      </c>
      <c r="K18" s="29">
        <v>9.65</v>
      </c>
      <c r="L18" s="47">
        <v>1000</v>
      </c>
      <c r="M18" s="47">
        <v>9650</v>
      </c>
      <c r="N18" s="47" t="s">
        <v>88</v>
      </c>
      <c r="O18" s="42">
        <v>46233</v>
      </c>
      <c r="P18" s="42">
        <v>46245</v>
      </c>
      <c r="Q18" s="42">
        <v>46259</v>
      </c>
      <c r="R18" s="42"/>
      <c r="S18" s="48">
        <v>46259</v>
      </c>
      <c r="T18" s="33">
        <f ca="1" t="shared" ref="T18:T20" si="1">TODAY()-U18</f>
        <v>6</v>
      </c>
      <c r="U18" s="42">
        <v>46255</v>
      </c>
      <c r="V18" s="3"/>
      <c r="XEZ18" s="61"/>
      <c r="XFA18" s="62"/>
      <c r="XFB18" s="63"/>
      <c r="XFC18" s="63"/>
      <c r="XFD18" s="64"/>
    </row>
    <row r="19" s="1" customFormat="1" ht="14.1" customHeight="1" spans="1:26 16380:16384">
      <c r="A19" s="47" t="s">
        <v>89</v>
      </c>
      <c r="B19" s="51">
        <v>46232</v>
      </c>
      <c r="C19" s="42">
        <v>4000317429</v>
      </c>
      <c r="D19" s="42">
        <v>46224</v>
      </c>
      <c r="E19" s="52" t="s">
        <v>48</v>
      </c>
      <c r="F19" s="58" t="s">
        <v>57</v>
      </c>
      <c r="G19" s="47" t="s">
        <v>36</v>
      </c>
      <c r="H19" s="53">
        <v>650009484</v>
      </c>
      <c r="I19" s="53" t="s">
        <v>90</v>
      </c>
      <c r="J19" s="47">
        <v>6000</v>
      </c>
      <c r="K19" s="29">
        <v>6.4</v>
      </c>
      <c r="L19" s="47">
        <v>6000</v>
      </c>
      <c r="M19" s="47">
        <v>38400</v>
      </c>
      <c r="N19" s="47" t="s">
        <v>88</v>
      </c>
      <c r="O19" s="42">
        <v>46233</v>
      </c>
      <c r="P19" s="42">
        <v>46245</v>
      </c>
      <c r="Q19" s="42">
        <v>46259</v>
      </c>
      <c r="R19" s="42"/>
      <c r="S19" s="48">
        <v>46259</v>
      </c>
      <c r="T19" s="33">
        <f ca="1" t="shared" si="1"/>
        <v>6</v>
      </c>
      <c r="U19" s="42">
        <v>46255</v>
      </c>
      <c r="V19" s="3"/>
      <c r="XEZ19" s="61"/>
      <c r="XFA19" s="62"/>
      <c r="XFB19" s="63"/>
      <c r="XFC19" s="63"/>
      <c r="XFD19" s="64"/>
    </row>
    <row r="20" s="1" customFormat="1" ht="14.1" customHeight="1" spans="1:26 16380:16384">
      <c r="A20" s="47" t="s">
        <v>91</v>
      </c>
      <c r="B20" s="51">
        <v>46232</v>
      </c>
      <c r="C20" s="42">
        <v>4000317429</v>
      </c>
      <c r="D20" s="42">
        <v>46224</v>
      </c>
      <c r="E20" s="52" t="s">
        <v>48</v>
      </c>
      <c r="F20" s="58" t="s">
        <v>57</v>
      </c>
      <c r="G20" s="47" t="s">
        <v>36</v>
      </c>
      <c r="H20" s="53">
        <v>650009485</v>
      </c>
      <c r="I20" s="53" t="s">
        <v>92</v>
      </c>
      <c r="J20" s="47">
        <v>16000</v>
      </c>
      <c r="K20" s="29">
        <v>4.4</v>
      </c>
      <c r="L20" s="47">
        <v>16000</v>
      </c>
      <c r="M20" s="47">
        <v>70400</v>
      </c>
      <c r="N20" s="47" t="s">
        <v>88</v>
      </c>
      <c r="O20" s="42">
        <v>46233</v>
      </c>
      <c r="P20" s="42">
        <v>46245</v>
      </c>
      <c r="Q20" s="42">
        <v>46259</v>
      </c>
      <c r="R20" s="42"/>
      <c r="S20" s="48">
        <v>46259</v>
      </c>
      <c r="T20" s="33">
        <f ca="1" t="shared" si="1"/>
        <v>6</v>
      </c>
      <c r="U20" s="42">
        <v>46255</v>
      </c>
      <c r="V20" s="3"/>
      <c r="XEZ20" s="61"/>
      <c r="XFA20" s="62"/>
      <c r="XFB20" s="63"/>
      <c r="XFC20" s="63"/>
      <c r="XFD20" s="64"/>
    </row>
    <row r="21" s="1" customFormat="1" ht="14.1" customHeight="1" spans="1:26 16380:16384">
      <c r="A21" s="47" t="s">
        <v>93</v>
      </c>
      <c r="B21" s="51">
        <v>46232</v>
      </c>
      <c r="C21" s="42">
        <v>4000317429</v>
      </c>
      <c r="D21" s="42">
        <v>46224</v>
      </c>
      <c r="E21" s="52" t="s">
        <v>48</v>
      </c>
      <c r="F21" s="58" t="s">
        <v>57</v>
      </c>
      <c r="G21" s="47" t="s">
        <v>36</v>
      </c>
      <c r="H21" s="53">
        <v>650010176</v>
      </c>
      <c r="I21" s="57" t="s">
        <v>94</v>
      </c>
      <c r="J21" s="47">
        <v>15000</v>
      </c>
      <c r="K21" s="29">
        <v>3.9</v>
      </c>
      <c r="L21" s="47">
        <v>15000</v>
      </c>
      <c r="M21" s="47">
        <v>58500</v>
      </c>
      <c r="N21" s="47" t="s">
        <v>42</v>
      </c>
      <c r="O21" s="42">
        <v>46233</v>
      </c>
      <c r="P21" s="42">
        <v>46237</v>
      </c>
      <c r="Q21" s="42"/>
      <c r="R21" s="42"/>
      <c r="S21" s="48">
        <v>46263</v>
      </c>
      <c r="T21" s="33">
        <f ca="1" t="shared" ref="T21:T34" si="2">TODAY()-B21</f>
        <v>29</v>
      </c>
      <c r="U21" s="42"/>
      <c r="V21" s="3"/>
      <c r="XEZ21" s="61"/>
      <c r="XFA21" s="62"/>
      <c r="XFB21" s="63"/>
      <c r="XFC21" s="63"/>
      <c r="XFD21" s="64"/>
    </row>
    <row r="22" s="1" customFormat="1" ht="14.1" customHeight="1" spans="1:26 16380:16384">
      <c r="A22" s="47" t="s">
        <v>95</v>
      </c>
      <c r="B22" s="51">
        <v>46232</v>
      </c>
      <c r="C22" s="42">
        <v>4000317429</v>
      </c>
      <c r="D22" s="42">
        <v>46224</v>
      </c>
      <c r="E22" s="52" t="s">
        <v>48</v>
      </c>
      <c r="F22" s="58" t="s">
        <v>57</v>
      </c>
      <c r="G22" s="47" t="s">
        <v>36</v>
      </c>
      <c r="H22" s="53">
        <v>650010448</v>
      </c>
      <c r="I22" s="53" t="s">
        <v>96</v>
      </c>
      <c r="J22" s="47">
        <v>2000</v>
      </c>
      <c r="K22" s="29">
        <v>9.2</v>
      </c>
      <c r="L22" s="47">
        <v>2000</v>
      </c>
      <c r="M22" s="47">
        <v>18400</v>
      </c>
      <c r="N22" s="47" t="s">
        <v>88</v>
      </c>
      <c r="O22" s="42">
        <v>46233</v>
      </c>
      <c r="P22" s="42">
        <v>46245</v>
      </c>
      <c r="Q22" s="42">
        <v>46259</v>
      </c>
      <c r="R22" s="42"/>
      <c r="S22" s="48">
        <v>46259</v>
      </c>
      <c r="T22" s="33">
        <f ca="1">TODAY()-U22</f>
        <v>6</v>
      </c>
      <c r="U22" s="42">
        <v>46255</v>
      </c>
      <c r="V22" s="3"/>
      <c r="XEZ22" s="61"/>
      <c r="XFA22" s="62"/>
      <c r="XFB22" s="63"/>
      <c r="XFC22" s="63"/>
      <c r="XFD22" s="64"/>
    </row>
    <row r="23" s="1" customFormat="1" ht="14.1" customHeight="1" spans="1:26 16380:16384">
      <c r="A23" s="47" t="s">
        <v>97</v>
      </c>
      <c r="B23" s="51">
        <v>46232</v>
      </c>
      <c r="C23" s="42">
        <v>4000317429</v>
      </c>
      <c r="D23" s="42">
        <v>46224</v>
      </c>
      <c r="E23" s="52" t="s">
        <v>48</v>
      </c>
      <c r="F23" s="30" t="s">
        <v>57</v>
      </c>
      <c r="G23" s="47" t="s">
        <v>36</v>
      </c>
      <c r="H23" s="53">
        <v>650012349</v>
      </c>
      <c r="I23" s="57" t="s">
        <v>98</v>
      </c>
      <c r="J23" s="47">
        <v>1000</v>
      </c>
      <c r="K23" s="29">
        <v>11.5</v>
      </c>
      <c r="L23" s="47">
        <v>1000</v>
      </c>
      <c r="M23" s="47">
        <v>11500</v>
      </c>
      <c r="N23" s="47" t="s">
        <v>42</v>
      </c>
      <c r="O23" s="42">
        <v>46233</v>
      </c>
      <c r="P23" s="42">
        <v>46237</v>
      </c>
      <c r="Q23" s="42"/>
      <c r="R23" s="42"/>
      <c r="S23" s="42"/>
      <c r="T23" s="33">
        <f ca="1" t="shared" si="2"/>
        <v>29</v>
      </c>
      <c r="U23" s="42"/>
      <c r="V23" s="3"/>
      <c r="XEZ23" s="61"/>
      <c r="XFA23" s="62"/>
      <c r="XFB23" s="63"/>
      <c r="XFC23" s="63"/>
      <c r="XFD23" s="64"/>
    </row>
    <row r="24" s="1" customFormat="1" ht="14.1" customHeight="1" spans="1:26 16380:16384">
      <c r="A24" s="47" t="s">
        <v>99</v>
      </c>
      <c r="B24" s="51">
        <v>46232</v>
      </c>
      <c r="C24" s="42">
        <v>4000317429</v>
      </c>
      <c r="D24" s="42">
        <v>46224</v>
      </c>
      <c r="E24" s="52" t="s">
        <v>48</v>
      </c>
      <c r="F24" s="30" t="s">
        <v>57</v>
      </c>
      <c r="G24" s="47" t="s">
        <v>36</v>
      </c>
      <c r="H24" s="53">
        <v>650016082</v>
      </c>
      <c r="I24" s="53" t="s">
        <v>100</v>
      </c>
      <c r="J24" s="47">
        <v>20500</v>
      </c>
      <c r="K24" s="29">
        <v>3.72</v>
      </c>
      <c r="L24" s="47">
        <v>20500</v>
      </c>
      <c r="M24" s="47">
        <v>76260</v>
      </c>
      <c r="N24" s="65" t="s">
        <v>31</v>
      </c>
      <c r="O24" s="42">
        <v>46233</v>
      </c>
      <c r="P24" s="42">
        <v>46241</v>
      </c>
      <c r="Q24" s="42">
        <v>46241</v>
      </c>
      <c r="R24" s="42">
        <v>46245</v>
      </c>
      <c r="S24" s="42"/>
      <c r="T24" s="33">
        <f ca="1" t="shared" si="2"/>
        <v>29</v>
      </c>
      <c r="U24" s="42"/>
      <c r="V24" s="3"/>
      <c r="XEZ24" s="61"/>
      <c r="XFA24" s="62"/>
      <c r="XFB24" s="63"/>
      <c r="XFC24" s="63"/>
      <c r="XFD24" s="64"/>
    </row>
    <row r="25" s="1" customFormat="1" ht="14.1" customHeight="1" spans="1:26 16380:16384">
      <c r="A25" s="47" t="s">
        <v>101</v>
      </c>
      <c r="B25" s="51">
        <v>46232</v>
      </c>
      <c r="C25" s="42">
        <v>4000317429</v>
      </c>
      <c r="D25" s="42">
        <v>46224</v>
      </c>
      <c r="E25" s="52" t="s">
        <v>48</v>
      </c>
      <c r="F25" s="30" t="s">
        <v>57</v>
      </c>
      <c r="G25" s="47" t="s">
        <v>36</v>
      </c>
      <c r="H25" s="53">
        <v>650016887</v>
      </c>
      <c r="I25" s="53" t="s">
        <v>102</v>
      </c>
      <c r="J25" s="47">
        <v>10000</v>
      </c>
      <c r="K25" s="29">
        <v>3.6</v>
      </c>
      <c r="L25" s="47">
        <v>10000</v>
      </c>
      <c r="M25" s="47">
        <v>36000</v>
      </c>
      <c r="N25" s="65" t="s">
        <v>31</v>
      </c>
      <c r="O25" s="42">
        <v>46233</v>
      </c>
      <c r="P25" s="42">
        <v>46234</v>
      </c>
      <c r="Q25" s="42">
        <v>46237</v>
      </c>
      <c r="R25" s="42">
        <v>46239</v>
      </c>
      <c r="S25" s="42"/>
      <c r="T25" s="33">
        <f ca="1" t="shared" si="2"/>
        <v>29</v>
      </c>
      <c r="U25" s="42"/>
      <c r="V25" s="3"/>
      <c r="Z25" s="1" t="s">
        <v>51</v>
      </c>
      <c r="XEZ25" s="61"/>
      <c r="XFA25" s="62"/>
      <c r="XFB25" s="63"/>
      <c r="XFC25" s="63"/>
      <c r="XFD25" s="64"/>
    </row>
    <row r="26" s="1" customFormat="1" ht="14.1" customHeight="1" spans="1:26 16380:16384">
      <c r="A26" s="47" t="s">
        <v>103</v>
      </c>
      <c r="B26" s="51">
        <v>46232</v>
      </c>
      <c r="C26" s="42">
        <v>4000317429</v>
      </c>
      <c r="D26" s="42">
        <v>46224</v>
      </c>
      <c r="E26" s="52" t="s">
        <v>48</v>
      </c>
      <c r="F26" s="30" t="s">
        <v>57</v>
      </c>
      <c r="G26" s="47" t="s">
        <v>36</v>
      </c>
      <c r="H26" s="53">
        <v>650016892</v>
      </c>
      <c r="I26" s="53" t="s">
        <v>104</v>
      </c>
      <c r="J26" s="47">
        <v>12000</v>
      </c>
      <c r="K26" s="29">
        <v>3.6</v>
      </c>
      <c r="L26" s="47">
        <v>12000</v>
      </c>
      <c r="M26" s="47">
        <v>43200</v>
      </c>
      <c r="N26" s="65" t="s">
        <v>31</v>
      </c>
      <c r="O26" s="42">
        <v>46233</v>
      </c>
      <c r="P26" s="42">
        <v>46234</v>
      </c>
      <c r="Q26" s="42">
        <v>46237</v>
      </c>
      <c r="R26" s="42">
        <v>46239</v>
      </c>
      <c r="S26" s="48">
        <v>46258</v>
      </c>
      <c r="T26" s="33">
        <f ca="1" t="shared" si="2"/>
        <v>29</v>
      </c>
      <c r="U26" s="42"/>
      <c r="V26" s="3"/>
      <c r="Z26" s="1" t="s">
        <v>51</v>
      </c>
      <c r="XEZ26" s="61"/>
      <c r="XFA26" s="62"/>
      <c r="XFB26" s="63"/>
      <c r="XFC26" s="63"/>
      <c r="XFD26" s="64"/>
    </row>
    <row r="27" s="1" customFormat="1" ht="14.1" customHeight="1" spans="1:26 16380:16384">
      <c r="A27" s="47" t="s">
        <v>105</v>
      </c>
      <c r="B27" s="51">
        <v>46232</v>
      </c>
      <c r="C27" s="42">
        <v>4000317429</v>
      </c>
      <c r="D27" s="42">
        <v>46224</v>
      </c>
      <c r="E27" s="52" t="s">
        <v>48</v>
      </c>
      <c r="F27" s="30" t="s">
        <v>57</v>
      </c>
      <c r="G27" s="47" t="s">
        <v>28</v>
      </c>
      <c r="H27" s="53">
        <v>650016884</v>
      </c>
      <c r="I27" s="53" t="s">
        <v>106</v>
      </c>
      <c r="J27" s="47">
        <v>3000</v>
      </c>
      <c r="K27" s="29">
        <v>4.4</v>
      </c>
      <c r="L27" s="47">
        <v>3000</v>
      </c>
      <c r="M27" s="47">
        <v>13200</v>
      </c>
      <c r="N27" s="65" t="s">
        <v>31</v>
      </c>
      <c r="O27" s="42">
        <v>46233</v>
      </c>
      <c r="P27" s="42">
        <v>46234</v>
      </c>
      <c r="Q27" s="42">
        <v>46237</v>
      </c>
      <c r="R27" s="42">
        <v>46239</v>
      </c>
      <c r="S27" s="42"/>
      <c r="T27" s="33">
        <f ca="1" t="shared" si="2"/>
        <v>29</v>
      </c>
      <c r="U27" s="42"/>
      <c r="V27" s="3"/>
      <c r="Z27" s="1" t="s">
        <v>77</v>
      </c>
      <c r="XEZ27" s="61"/>
      <c r="XFA27" s="62"/>
      <c r="XFB27" s="63"/>
      <c r="XFC27" s="63"/>
      <c r="XFD27" s="64"/>
    </row>
    <row r="28" s="1" customFormat="1" ht="14.1" customHeight="1" spans="1:26 16380:16384">
      <c r="A28" s="47" t="s">
        <v>107</v>
      </c>
      <c r="B28" s="51">
        <v>46232</v>
      </c>
      <c r="C28" s="42">
        <v>4000317429</v>
      </c>
      <c r="D28" s="42">
        <v>46224</v>
      </c>
      <c r="E28" s="52" t="s">
        <v>48</v>
      </c>
      <c r="F28" s="30" t="s">
        <v>57</v>
      </c>
      <c r="G28" s="47" t="s">
        <v>28</v>
      </c>
      <c r="H28" s="53">
        <v>650016885</v>
      </c>
      <c r="I28" s="53" t="s">
        <v>108</v>
      </c>
      <c r="J28" s="47">
        <v>3000</v>
      </c>
      <c r="K28" s="29">
        <v>4.4</v>
      </c>
      <c r="L28" s="47">
        <v>3000</v>
      </c>
      <c r="M28" s="47">
        <v>13200</v>
      </c>
      <c r="N28" s="65" t="s">
        <v>31</v>
      </c>
      <c r="O28" s="42">
        <v>46233</v>
      </c>
      <c r="P28" s="42">
        <v>46234</v>
      </c>
      <c r="Q28" s="42">
        <v>46237</v>
      </c>
      <c r="R28" s="42">
        <v>46238</v>
      </c>
      <c r="S28" s="42"/>
      <c r="T28" s="33">
        <f ca="1" t="shared" si="2"/>
        <v>29</v>
      </c>
      <c r="U28" s="42"/>
      <c r="V28" s="3"/>
      <c r="Z28" s="1" t="s">
        <v>77</v>
      </c>
      <c r="XEZ28" s="61"/>
      <c r="XFA28" s="62"/>
      <c r="XFB28" s="63"/>
      <c r="XFC28" s="63"/>
      <c r="XFD28" s="64"/>
    </row>
    <row r="29" s="1" customFormat="1" ht="14.1" customHeight="1" spans="1:26 16380:16384">
      <c r="A29" s="47" t="s">
        <v>109</v>
      </c>
      <c r="B29" s="51">
        <v>46232</v>
      </c>
      <c r="C29" s="42">
        <v>4000317429</v>
      </c>
      <c r="D29" s="42">
        <v>46224</v>
      </c>
      <c r="E29" s="52" t="s">
        <v>48</v>
      </c>
      <c r="F29" s="30" t="s">
        <v>57</v>
      </c>
      <c r="G29" s="47" t="s">
        <v>28</v>
      </c>
      <c r="H29" s="53">
        <v>650016886</v>
      </c>
      <c r="I29" s="53" t="s">
        <v>110</v>
      </c>
      <c r="J29" s="47">
        <v>6000</v>
      </c>
      <c r="K29" s="29">
        <v>4.4</v>
      </c>
      <c r="L29" s="47">
        <v>6000</v>
      </c>
      <c r="M29" s="47">
        <v>26400</v>
      </c>
      <c r="N29" s="65" t="s">
        <v>31</v>
      </c>
      <c r="O29" s="42">
        <v>46233</v>
      </c>
      <c r="P29" s="42">
        <v>46234</v>
      </c>
      <c r="Q29" s="42">
        <v>46237</v>
      </c>
      <c r="R29" s="42">
        <v>46240</v>
      </c>
      <c r="S29" s="42"/>
      <c r="T29" s="33">
        <f ca="1" t="shared" si="2"/>
        <v>29</v>
      </c>
      <c r="U29" s="42"/>
      <c r="V29" s="3"/>
      <c r="Z29" s="1" t="s">
        <v>77</v>
      </c>
      <c r="XEZ29" s="61"/>
      <c r="XFA29" s="62"/>
      <c r="XFB29" s="63"/>
      <c r="XFC29" s="63"/>
      <c r="XFD29" s="64"/>
    </row>
    <row r="30" s="1" customFormat="1" ht="14.1" customHeight="1" spans="1:26 16380:16384">
      <c r="A30" s="47" t="s">
        <v>111</v>
      </c>
      <c r="B30" s="51">
        <v>46234</v>
      </c>
      <c r="C30" s="42">
        <v>8110001340</v>
      </c>
      <c r="D30" s="42">
        <v>46232</v>
      </c>
      <c r="E30" s="52" t="s">
        <v>44</v>
      </c>
      <c r="F30" s="30" t="s">
        <v>45</v>
      </c>
      <c r="G30" s="47" t="s">
        <v>36</v>
      </c>
      <c r="H30" s="53">
        <v>1048507</v>
      </c>
      <c r="I30" s="53" t="s">
        <v>112</v>
      </c>
      <c r="J30" s="47">
        <v>10000</v>
      </c>
      <c r="K30" s="29"/>
      <c r="L30" s="47">
        <v>10000</v>
      </c>
      <c r="M30" s="47">
        <v>65500</v>
      </c>
      <c r="N30" s="47" t="s">
        <v>31</v>
      </c>
      <c r="O30" s="42">
        <v>46238</v>
      </c>
      <c r="P30" s="42">
        <v>46239</v>
      </c>
      <c r="Q30" s="42">
        <v>46240</v>
      </c>
      <c r="R30" s="42">
        <v>46246</v>
      </c>
      <c r="S30" s="48">
        <v>46260</v>
      </c>
      <c r="T30" s="33">
        <f ca="1" t="shared" si="2"/>
        <v>27</v>
      </c>
      <c r="U30" s="42"/>
      <c r="V30" s="3"/>
      <c r="XEZ30" s="61"/>
      <c r="XFA30" s="62"/>
      <c r="XFB30" s="63"/>
      <c r="XFC30" s="63"/>
      <c r="XFD30" s="64"/>
    </row>
    <row r="31" s="1" customFormat="1" ht="14.1" customHeight="1" spans="1:26 16380:16384">
      <c r="A31" s="47" t="s">
        <v>113</v>
      </c>
      <c r="B31" s="51">
        <v>46234</v>
      </c>
      <c r="C31" s="42">
        <v>4500040664</v>
      </c>
      <c r="D31" s="42">
        <v>46232</v>
      </c>
      <c r="E31" s="52" t="s">
        <v>114</v>
      </c>
      <c r="F31" s="30" t="s">
        <v>115</v>
      </c>
      <c r="G31" s="47" t="s">
        <v>36</v>
      </c>
      <c r="H31" s="53" t="s">
        <v>116</v>
      </c>
      <c r="I31" s="53" t="s">
        <v>117</v>
      </c>
      <c r="J31" s="47">
        <v>8000</v>
      </c>
      <c r="K31" s="29"/>
      <c r="L31" s="47">
        <v>8000</v>
      </c>
      <c r="M31" s="47">
        <v>80960</v>
      </c>
      <c r="N31" s="47" t="s">
        <v>31</v>
      </c>
      <c r="O31" s="42">
        <v>46238</v>
      </c>
      <c r="P31" s="42">
        <v>46245</v>
      </c>
      <c r="Q31" s="42">
        <v>46248</v>
      </c>
      <c r="R31" s="42">
        <v>46252</v>
      </c>
      <c r="S31" s="42"/>
      <c r="T31" s="33">
        <f ca="1" t="shared" si="2"/>
        <v>27</v>
      </c>
      <c r="U31" s="42"/>
      <c r="V31" s="3"/>
      <c r="XEZ31" s="61"/>
      <c r="XFA31" s="62"/>
      <c r="XFB31" s="63"/>
      <c r="XFC31" s="63"/>
      <c r="XFD31" s="64"/>
    </row>
    <row r="32" s="1" customFormat="1" ht="14.1" customHeight="1" spans="1:26 16380:16384">
      <c r="A32" s="47" t="s">
        <v>118</v>
      </c>
      <c r="B32" s="51">
        <v>46234</v>
      </c>
      <c r="C32" s="42">
        <v>4500040664</v>
      </c>
      <c r="D32" s="42">
        <v>46232</v>
      </c>
      <c r="E32" s="52" t="s">
        <v>114</v>
      </c>
      <c r="F32" s="30" t="s">
        <v>115</v>
      </c>
      <c r="G32" s="47" t="s">
        <v>36</v>
      </c>
      <c r="H32" s="53" t="s">
        <v>119</v>
      </c>
      <c r="I32" s="53" t="s">
        <v>120</v>
      </c>
      <c r="J32" s="47">
        <v>24000</v>
      </c>
      <c r="K32" s="29"/>
      <c r="L32" s="47">
        <v>24000</v>
      </c>
      <c r="M32" s="47">
        <v>50400</v>
      </c>
      <c r="N32" s="47" t="s">
        <v>31</v>
      </c>
      <c r="O32" s="42">
        <v>46238</v>
      </c>
      <c r="P32" s="42">
        <v>46241</v>
      </c>
      <c r="Q32" s="42">
        <f>+P32</f>
        <v>46241</v>
      </c>
      <c r="R32" s="42">
        <v>46251</v>
      </c>
      <c r="S32" s="42"/>
      <c r="T32" s="33">
        <f ca="1" t="shared" si="2"/>
        <v>27</v>
      </c>
      <c r="U32" s="42"/>
      <c r="V32" s="3"/>
      <c r="XEZ32" s="61"/>
      <c r="XFA32" s="62"/>
      <c r="XFB32" s="63"/>
      <c r="XFC32" s="63"/>
      <c r="XFD32" s="64"/>
    </row>
    <row r="33" s="1" customFormat="1" ht="14.1" customHeight="1" spans="1:22 16380:16384">
      <c r="A33" s="47" t="s">
        <v>121</v>
      </c>
      <c r="B33" s="51">
        <v>46235.7034722222</v>
      </c>
      <c r="C33" s="42" t="s">
        <v>122</v>
      </c>
      <c r="D33" s="42"/>
      <c r="E33" s="52"/>
      <c r="F33" s="30" t="s">
        <v>123</v>
      </c>
      <c r="G33" s="47" t="s">
        <v>36</v>
      </c>
      <c r="H33" s="53">
        <v>949129282</v>
      </c>
      <c r="I33" s="53" t="s">
        <v>124</v>
      </c>
      <c r="J33" s="47">
        <v>15000</v>
      </c>
      <c r="K33" s="29">
        <v>2.7</v>
      </c>
      <c r="L33" s="47">
        <v>15000</v>
      </c>
      <c r="M33" s="47">
        <v>40500</v>
      </c>
      <c r="N33" s="47" t="s">
        <v>31</v>
      </c>
      <c r="O33" s="42">
        <v>46237</v>
      </c>
      <c r="P33" s="42">
        <v>46238</v>
      </c>
      <c r="Q33" s="42">
        <v>46241</v>
      </c>
      <c r="R33" s="42">
        <v>46242</v>
      </c>
      <c r="S33" s="42"/>
      <c r="T33" s="33">
        <f ca="1" t="shared" si="2"/>
        <v>25.2965277777985</v>
      </c>
      <c r="U33" s="42"/>
      <c r="V33" s="3"/>
      <c r="XEZ33" s="61"/>
      <c r="XFA33" s="62"/>
      <c r="XFB33" s="63"/>
      <c r="XFC33" s="63"/>
      <c r="XFD33" s="64"/>
    </row>
    <row r="34" s="1" customFormat="1" ht="12" customHeight="1" spans="1:22 16380:16384">
      <c r="A34" s="47" t="s">
        <v>125</v>
      </c>
      <c r="B34" s="51">
        <v>46235.7048611111</v>
      </c>
      <c r="C34" s="42" t="s">
        <v>126</v>
      </c>
      <c r="D34" s="42"/>
      <c r="E34" s="52"/>
      <c r="F34" s="30" t="s">
        <v>74</v>
      </c>
      <c r="G34" s="47" t="s">
        <v>36</v>
      </c>
      <c r="H34" s="53" t="s">
        <v>127</v>
      </c>
      <c r="I34" s="53" t="s">
        <v>128</v>
      </c>
      <c r="J34" s="47">
        <v>52000</v>
      </c>
      <c r="K34" s="29">
        <v>3</v>
      </c>
      <c r="L34" s="47">
        <f>52000-25700</f>
        <v>26300</v>
      </c>
      <c r="M34" s="47">
        <f>+L34*K34</f>
        <v>78900</v>
      </c>
      <c r="N34" s="47" t="s">
        <v>80</v>
      </c>
      <c r="O34" s="42">
        <v>46237</v>
      </c>
      <c r="P34" s="42"/>
      <c r="Q34" s="42"/>
      <c r="R34" s="42"/>
      <c r="S34" s="42"/>
      <c r="T34" s="33">
        <f ca="1" t="shared" si="2"/>
        <v>25.2951388888978</v>
      </c>
      <c r="U34" s="42"/>
      <c r="V34" s="3"/>
      <c r="XEZ34" s="61"/>
      <c r="XFA34" s="62"/>
      <c r="XFB34" s="63"/>
      <c r="XFC34" s="63"/>
      <c r="XFD34" s="64"/>
    </row>
    <row r="35" s="1" customFormat="1" ht="14.1" customHeight="1" spans="1:22 16380:16384">
      <c r="A35" s="51" t="s">
        <v>129</v>
      </c>
      <c r="B35" s="51">
        <v>46237</v>
      </c>
      <c r="C35" s="42">
        <v>9500223893</v>
      </c>
      <c r="D35" s="42">
        <v>46235</v>
      </c>
      <c r="E35" s="52" t="s">
        <v>53</v>
      </c>
      <c r="F35" s="30" t="s">
        <v>130</v>
      </c>
      <c r="G35" s="47" t="s">
        <v>28</v>
      </c>
      <c r="H35" s="53" t="s">
        <v>131</v>
      </c>
      <c r="I35" s="53" t="s">
        <v>132</v>
      </c>
      <c r="J35" s="47">
        <v>18000</v>
      </c>
      <c r="K35" s="29">
        <v>4.15</v>
      </c>
      <c r="L35" s="47">
        <v>18000</v>
      </c>
      <c r="M35" s="47">
        <v>74700</v>
      </c>
      <c r="N35" s="47" t="s">
        <v>88</v>
      </c>
      <c r="O35" s="42">
        <v>46240</v>
      </c>
      <c r="P35" s="42">
        <v>46244</v>
      </c>
      <c r="Q35" s="42">
        <v>46251</v>
      </c>
      <c r="R35" s="42"/>
      <c r="S35" s="42"/>
      <c r="T35" s="33">
        <f ca="1" t="shared" ref="T35:T38" si="3">TODAY()-U35</f>
        <v>20</v>
      </c>
      <c r="U35" s="42">
        <v>46241</v>
      </c>
      <c r="V35" s="3"/>
      <c r="XEZ35" s="61"/>
      <c r="XFA35" s="62"/>
      <c r="XFB35" s="63"/>
      <c r="XFC35" s="63"/>
      <c r="XFD35" s="64"/>
    </row>
    <row r="36" s="1" customFormat="1" ht="14.1" customHeight="1" spans="1:22 16380:16384">
      <c r="A36" s="51" t="s">
        <v>133</v>
      </c>
      <c r="B36" s="51">
        <v>46237</v>
      </c>
      <c r="C36" s="42">
        <v>9500223893</v>
      </c>
      <c r="D36" s="42">
        <v>46235</v>
      </c>
      <c r="E36" s="52" t="s">
        <v>53</v>
      </c>
      <c r="F36" s="30" t="s">
        <v>130</v>
      </c>
      <c r="G36" s="47" t="s">
        <v>28</v>
      </c>
      <c r="H36" s="53" t="s">
        <v>134</v>
      </c>
      <c r="I36" s="53" t="s">
        <v>135</v>
      </c>
      <c r="J36" s="47">
        <v>2000</v>
      </c>
      <c r="K36" s="29">
        <v>11.5</v>
      </c>
      <c r="L36" s="47">
        <v>2000</v>
      </c>
      <c r="M36" s="47">
        <v>23000</v>
      </c>
      <c r="N36" s="47" t="s">
        <v>136</v>
      </c>
      <c r="O36" s="42">
        <v>46240</v>
      </c>
      <c r="P36" s="42">
        <v>46244</v>
      </c>
      <c r="Q36" s="42"/>
      <c r="R36" s="42"/>
      <c r="S36" s="48">
        <v>46261</v>
      </c>
      <c r="T36" s="33">
        <f ca="1" t="shared" si="3"/>
        <v>20</v>
      </c>
      <c r="U36" s="42">
        <v>46241</v>
      </c>
      <c r="V36" s="3"/>
      <c r="XEZ36" s="61"/>
      <c r="XFA36" s="62"/>
      <c r="XFB36" s="63"/>
      <c r="XFC36" s="63"/>
      <c r="XFD36" s="64"/>
    </row>
    <row r="37" s="1" customFormat="1" ht="14.1" customHeight="1" spans="1:22 16380:16384">
      <c r="A37" s="51" t="s">
        <v>137</v>
      </c>
      <c r="B37" s="51">
        <v>46237</v>
      </c>
      <c r="C37" s="42">
        <v>9500223893</v>
      </c>
      <c r="D37" s="42">
        <v>46235</v>
      </c>
      <c r="E37" s="52" t="s">
        <v>53</v>
      </c>
      <c r="F37" s="30" t="s">
        <v>130</v>
      </c>
      <c r="G37" s="47" t="s">
        <v>28</v>
      </c>
      <c r="H37" s="53">
        <v>2093374</v>
      </c>
      <c r="I37" s="53" t="s">
        <v>138</v>
      </c>
      <c r="J37" s="47">
        <v>15000</v>
      </c>
      <c r="K37" s="29">
        <v>3.1</v>
      </c>
      <c r="L37" s="47">
        <v>15000</v>
      </c>
      <c r="M37" s="47">
        <v>46500</v>
      </c>
      <c r="N37" s="47" t="s">
        <v>88</v>
      </c>
      <c r="O37" s="42">
        <v>46240</v>
      </c>
      <c r="P37" s="42">
        <v>46244</v>
      </c>
      <c r="Q37" s="42">
        <v>46256</v>
      </c>
      <c r="R37" s="42"/>
      <c r="S37" s="48">
        <v>46261</v>
      </c>
      <c r="T37" s="33">
        <f ca="1" t="shared" si="3"/>
        <v>20</v>
      </c>
      <c r="U37" s="42">
        <v>46241</v>
      </c>
      <c r="V37" s="3"/>
      <c r="XEZ37" s="61"/>
      <c r="XFA37" s="62"/>
      <c r="XFB37" s="63"/>
      <c r="XFC37" s="63"/>
      <c r="XFD37" s="64"/>
    </row>
    <row r="38" s="1" customFormat="1" ht="14.1" customHeight="1" spans="1:22 16380:16384">
      <c r="A38" s="51" t="s">
        <v>139</v>
      </c>
      <c r="B38" s="51">
        <v>46237</v>
      </c>
      <c r="C38" s="42">
        <v>9500223893</v>
      </c>
      <c r="D38" s="42">
        <v>46235</v>
      </c>
      <c r="E38" s="52" t="s">
        <v>53</v>
      </c>
      <c r="F38" s="30" t="s">
        <v>130</v>
      </c>
      <c r="G38" s="47" t="s">
        <v>28</v>
      </c>
      <c r="H38" s="53">
        <v>2108135</v>
      </c>
      <c r="I38" s="53" t="s">
        <v>140</v>
      </c>
      <c r="J38" s="47">
        <v>12000</v>
      </c>
      <c r="K38" s="29">
        <v>4</v>
      </c>
      <c r="L38" s="47">
        <v>12000</v>
      </c>
      <c r="M38" s="47">
        <v>48000</v>
      </c>
      <c r="N38" s="47" t="s">
        <v>88</v>
      </c>
      <c r="O38" s="42">
        <v>46240</v>
      </c>
      <c r="P38" s="42">
        <v>46244</v>
      </c>
      <c r="Q38" s="42">
        <v>46256</v>
      </c>
      <c r="R38" s="42"/>
      <c r="S38" s="48">
        <v>46261</v>
      </c>
      <c r="T38" s="33">
        <f ca="1" t="shared" si="3"/>
        <v>20</v>
      </c>
      <c r="U38" s="42">
        <v>46241</v>
      </c>
      <c r="V38" s="3"/>
      <c r="XEZ38" s="61"/>
      <c r="XFA38" s="62"/>
      <c r="XFB38" s="63"/>
      <c r="XFC38" s="63"/>
      <c r="XFD38" s="64"/>
    </row>
    <row r="39" s="1" customFormat="1" ht="14.1" customHeight="1" spans="1:22 16380:16384">
      <c r="A39" s="51" t="s">
        <v>141</v>
      </c>
      <c r="B39" s="51">
        <v>46237</v>
      </c>
      <c r="C39" s="42">
        <v>4510211732</v>
      </c>
      <c r="D39" s="42">
        <v>46234</v>
      </c>
      <c r="E39" s="52" t="s">
        <v>142</v>
      </c>
      <c r="F39" s="30" t="s">
        <v>35</v>
      </c>
      <c r="G39" s="47" t="s">
        <v>36</v>
      </c>
      <c r="H39" s="53" t="s">
        <v>143</v>
      </c>
      <c r="I39" s="53" t="s">
        <v>144</v>
      </c>
      <c r="J39" s="47">
        <v>74700</v>
      </c>
      <c r="K39" s="29">
        <v>1.3716</v>
      </c>
      <c r="L39" s="47">
        <v>74700</v>
      </c>
      <c r="M39" s="47">
        <v>102458.52</v>
      </c>
      <c r="N39" s="47" t="s">
        <v>42</v>
      </c>
      <c r="O39" s="42">
        <v>46239</v>
      </c>
      <c r="P39" s="42"/>
      <c r="Q39" s="42"/>
      <c r="R39" s="42"/>
      <c r="S39" s="42"/>
      <c r="T39" s="33">
        <f ca="1" t="shared" ref="T39:T47" si="4">TODAY()-B39</f>
        <v>24</v>
      </c>
      <c r="U39" s="42"/>
      <c r="V39" s="3"/>
      <c r="XEZ39" s="61"/>
      <c r="XFA39" s="62"/>
      <c r="XFB39" s="63"/>
      <c r="XFC39" s="63"/>
      <c r="XFD39" s="64"/>
    </row>
    <row r="40" s="1" customFormat="1" ht="14.1" customHeight="1" spans="1:22 16380:16384">
      <c r="A40" s="51" t="s">
        <v>145</v>
      </c>
      <c r="B40" s="51">
        <v>46237</v>
      </c>
      <c r="C40" s="42">
        <v>8110001410</v>
      </c>
      <c r="D40" s="42">
        <v>46234</v>
      </c>
      <c r="E40" s="52" t="s">
        <v>39</v>
      </c>
      <c r="F40" s="30" t="s">
        <v>45</v>
      </c>
      <c r="G40" s="47" t="s">
        <v>28</v>
      </c>
      <c r="H40" s="53">
        <v>1054208</v>
      </c>
      <c r="I40" s="53" t="s">
        <v>146</v>
      </c>
      <c r="J40" s="47">
        <v>25000</v>
      </c>
      <c r="K40" s="29">
        <v>4.05</v>
      </c>
      <c r="L40" s="47">
        <v>25000</v>
      </c>
      <c r="M40" s="47">
        <v>101250</v>
      </c>
      <c r="N40" s="47" t="s">
        <v>88</v>
      </c>
      <c r="O40" s="42">
        <v>46245</v>
      </c>
      <c r="P40" s="42">
        <v>46255</v>
      </c>
      <c r="Q40" s="42">
        <v>46259</v>
      </c>
      <c r="R40" s="42"/>
      <c r="S40" s="48">
        <v>46262</v>
      </c>
      <c r="T40" s="33">
        <f ca="1">TODAY()-U40</f>
        <v>7</v>
      </c>
      <c r="U40" s="42">
        <v>46254</v>
      </c>
      <c r="V40" s="3"/>
      <c r="XEZ40" s="61"/>
      <c r="XFA40" s="62"/>
      <c r="XFB40" s="63"/>
      <c r="XFC40" s="63"/>
      <c r="XFD40" s="64"/>
    </row>
    <row r="41" s="1" customFormat="1" ht="14.1" customHeight="1" spans="1:22 16380:16384">
      <c r="A41" s="51" t="s">
        <v>147</v>
      </c>
      <c r="B41" s="51">
        <v>46237</v>
      </c>
      <c r="C41" s="42">
        <v>8110001410</v>
      </c>
      <c r="D41" s="42">
        <v>46234</v>
      </c>
      <c r="E41" s="52" t="s">
        <v>39</v>
      </c>
      <c r="F41" s="30" t="s">
        <v>45</v>
      </c>
      <c r="G41" s="47" t="s">
        <v>28</v>
      </c>
      <c r="H41" s="53">
        <v>1054446</v>
      </c>
      <c r="I41" s="53" t="s">
        <v>148</v>
      </c>
      <c r="J41" s="47">
        <v>45000</v>
      </c>
      <c r="K41" s="29">
        <v>4.5</v>
      </c>
      <c r="L41" s="47">
        <v>45000</v>
      </c>
      <c r="M41" s="47">
        <v>202500</v>
      </c>
      <c r="N41" s="47" t="s">
        <v>136</v>
      </c>
      <c r="O41" s="42">
        <v>46245</v>
      </c>
      <c r="P41" s="42">
        <v>46255</v>
      </c>
      <c r="Q41" s="42"/>
      <c r="R41" s="42"/>
      <c r="S41" s="42"/>
      <c r="T41" s="33">
        <f ca="1">TODAY()-U41</f>
        <v>5</v>
      </c>
      <c r="U41" s="42">
        <v>46256</v>
      </c>
      <c r="V41" s="3"/>
      <c r="XEZ41" s="61"/>
      <c r="XFA41" s="62"/>
      <c r="XFB41" s="63"/>
      <c r="XFC41" s="63"/>
      <c r="XFD41" s="64"/>
    </row>
    <row r="42" s="1" customFormat="1" ht="14.1" customHeight="1" spans="1:22 16380:16384">
      <c r="A42" s="51" t="s">
        <v>149</v>
      </c>
      <c r="B42" s="51">
        <v>46239.7333333333</v>
      </c>
      <c r="C42" s="42" t="s">
        <v>150</v>
      </c>
      <c r="D42" s="42"/>
      <c r="E42" s="52"/>
      <c r="F42" s="30" t="s">
        <v>45</v>
      </c>
      <c r="G42" s="47" t="s">
        <v>36</v>
      </c>
      <c r="H42" s="53">
        <v>1050830</v>
      </c>
      <c r="I42" s="53" t="s">
        <v>151</v>
      </c>
      <c r="J42" s="47">
        <v>65000</v>
      </c>
      <c r="K42" s="29">
        <v>2.04</v>
      </c>
      <c r="L42" s="47">
        <v>65000</v>
      </c>
      <c r="M42" s="47">
        <v>132600</v>
      </c>
      <c r="N42" s="47" t="s">
        <v>88</v>
      </c>
      <c r="O42" s="42">
        <v>46240</v>
      </c>
      <c r="P42" s="42">
        <v>46245</v>
      </c>
      <c r="Q42" s="42">
        <v>46259</v>
      </c>
      <c r="R42" s="42"/>
      <c r="S42" s="48">
        <v>46263</v>
      </c>
      <c r="T42" s="33">
        <f ca="1" t="shared" si="4"/>
        <v>21.2666666666992</v>
      </c>
      <c r="U42" s="42"/>
      <c r="V42" s="3"/>
      <c r="XEZ42" s="61"/>
      <c r="XFA42" s="62"/>
      <c r="XFB42" s="63"/>
      <c r="XFC42" s="63"/>
      <c r="XFD42" s="64"/>
    </row>
    <row r="43" s="1" customFormat="1" ht="14.1" customHeight="1" spans="1:22 16380:16384">
      <c r="A43" s="51" t="s">
        <v>152</v>
      </c>
      <c r="B43" s="51">
        <v>46239.7375</v>
      </c>
      <c r="C43" s="42" t="s">
        <v>153</v>
      </c>
      <c r="D43" s="42"/>
      <c r="E43" s="52"/>
      <c r="F43" s="30" t="s">
        <v>45</v>
      </c>
      <c r="G43" s="47" t="s">
        <v>36</v>
      </c>
      <c r="H43" s="53">
        <v>1050842</v>
      </c>
      <c r="I43" s="53" t="s">
        <v>154</v>
      </c>
      <c r="J43" s="47">
        <v>125000</v>
      </c>
      <c r="K43" s="29">
        <v>1.68</v>
      </c>
      <c r="L43" s="47">
        <v>125000</v>
      </c>
      <c r="M43" s="47">
        <v>210000</v>
      </c>
      <c r="N43" s="47" t="s">
        <v>88</v>
      </c>
      <c r="O43" s="42">
        <v>46240</v>
      </c>
      <c r="P43" s="42">
        <v>46256</v>
      </c>
      <c r="Q43" s="42">
        <v>46258</v>
      </c>
      <c r="R43" s="42"/>
      <c r="S43" s="48">
        <v>46263</v>
      </c>
      <c r="T43" s="33">
        <f ca="1" t="shared" si="4"/>
        <v>21.2624999999971</v>
      </c>
      <c r="U43" s="42"/>
      <c r="V43" s="3"/>
      <c r="XEZ43" s="61"/>
      <c r="XFA43" s="62"/>
      <c r="XFB43" s="63"/>
      <c r="XFC43" s="63"/>
      <c r="XFD43" s="64"/>
    </row>
    <row r="44" s="1" customFormat="1" ht="14.1" customHeight="1" spans="1:22 16380:16384">
      <c r="A44" s="51" t="s">
        <v>155</v>
      </c>
      <c r="B44" s="51">
        <v>46239.7395833333</v>
      </c>
      <c r="C44" s="42" t="s">
        <v>153</v>
      </c>
      <c r="D44" s="42"/>
      <c r="E44" s="52"/>
      <c r="F44" s="30" t="s">
        <v>45</v>
      </c>
      <c r="G44" s="47" t="s">
        <v>36</v>
      </c>
      <c r="H44" s="53">
        <v>1050843</v>
      </c>
      <c r="I44" s="53" t="s">
        <v>156</v>
      </c>
      <c r="J44" s="47">
        <v>235000</v>
      </c>
      <c r="K44" s="29">
        <v>1.68</v>
      </c>
      <c r="L44" s="47">
        <v>235000</v>
      </c>
      <c r="M44" s="47">
        <v>394800</v>
      </c>
      <c r="N44" s="47" t="s">
        <v>31</v>
      </c>
      <c r="O44" s="42">
        <v>46240</v>
      </c>
      <c r="P44" s="42">
        <v>46256</v>
      </c>
      <c r="Q44" s="42">
        <v>46258</v>
      </c>
      <c r="R44" s="42">
        <v>46259</v>
      </c>
      <c r="S44" s="48">
        <v>46263</v>
      </c>
      <c r="T44" s="33">
        <f ca="1" t="shared" si="4"/>
        <v>21.2604166667006</v>
      </c>
      <c r="U44" s="42"/>
      <c r="V44" s="3"/>
      <c r="XEZ44" s="61"/>
      <c r="XFA44" s="62"/>
      <c r="XFB44" s="63"/>
      <c r="XFC44" s="63"/>
      <c r="XFD44" s="64"/>
    </row>
    <row r="45" s="1" customFormat="1" ht="14.1" customHeight="1" spans="1:22 16380:16384">
      <c r="A45" s="51" t="s">
        <v>157</v>
      </c>
      <c r="B45" s="51">
        <v>46239.75625</v>
      </c>
      <c r="C45" s="42" t="s">
        <v>158</v>
      </c>
      <c r="D45" s="42"/>
      <c r="E45" s="52"/>
      <c r="F45" s="30" t="s">
        <v>45</v>
      </c>
      <c r="G45" s="47" t="s">
        <v>36</v>
      </c>
      <c r="H45" s="53">
        <v>1050167</v>
      </c>
      <c r="I45" s="53" t="s">
        <v>159</v>
      </c>
      <c r="J45" s="47">
        <v>200000</v>
      </c>
      <c r="K45" s="29">
        <v>1.57</v>
      </c>
      <c r="L45" s="47">
        <v>200000</v>
      </c>
      <c r="M45" s="47">
        <v>314000</v>
      </c>
      <c r="N45" s="47" t="s">
        <v>31</v>
      </c>
      <c r="O45" s="42">
        <v>46240</v>
      </c>
      <c r="P45" s="42">
        <v>46245</v>
      </c>
      <c r="Q45" s="42">
        <v>46247</v>
      </c>
      <c r="R45" s="42">
        <v>46252</v>
      </c>
      <c r="S45" s="48">
        <v>46258</v>
      </c>
      <c r="T45" s="33">
        <f ca="1" t="shared" si="4"/>
        <v>21.2437500000015</v>
      </c>
      <c r="U45" s="42"/>
      <c r="V45" s="3"/>
      <c r="XEZ45" s="61"/>
      <c r="XFA45" s="62"/>
      <c r="XFB45" s="63"/>
      <c r="XFC45" s="63"/>
      <c r="XFD45" s="64"/>
    </row>
    <row r="46" s="1" customFormat="1" ht="14.1" customHeight="1" spans="1:22 16380:16384">
      <c r="A46" s="51" t="s">
        <v>160</v>
      </c>
      <c r="B46" s="51">
        <v>46239.7652777778</v>
      </c>
      <c r="C46" s="42" t="s">
        <v>161</v>
      </c>
      <c r="D46" s="42"/>
      <c r="E46" s="52"/>
      <c r="F46" s="30" t="s">
        <v>54</v>
      </c>
      <c r="G46" s="47" t="s">
        <v>36</v>
      </c>
      <c r="H46" s="53">
        <v>2094117</v>
      </c>
      <c r="I46" s="53" t="s">
        <v>162</v>
      </c>
      <c r="J46" s="47">
        <v>155000</v>
      </c>
      <c r="K46" s="29">
        <v>1.84</v>
      </c>
      <c r="L46" s="47">
        <v>155000</v>
      </c>
      <c r="M46" s="47">
        <v>285200</v>
      </c>
      <c r="N46" s="47" t="s">
        <v>31</v>
      </c>
      <c r="O46" s="42">
        <v>46240</v>
      </c>
      <c r="P46" s="42">
        <v>46251</v>
      </c>
      <c r="Q46" s="42">
        <v>46252</v>
      </c>
      <c r="R46" s="42">
        <v>46256</v>
      </c>
      <c r="S46" s="48">
        <v>46260</v>
      </c>
      <c r="T46" s="33">
        <f ca="1" t="shared" si="4"/>
        <v>21.2347222222015</v>
      </c>
      <c r="U46" s="42"/>
      <c r="V46" s="3"/>
      <c r="XEZ46" s="61"/>
      <c r="XFA46" s="62"/>
      <c r="XFB46" s="63"/>
      <c r="XFC46" s="63"/>
      <c r="XFD46" s="64"/>
    </row>
    <row r="47" s="1" customFormat="1" ht="14.1" customHeight="1" spans="1:22 16380:16384">
      <c r="A47" s="51" t="s">
        <v>163</v>
      </c>
      <c r="B47" s="51">
        <v>46240</v>
      </c>
      <c r="C47" s="42" t="s">
        <v>164</v>
      </c>
      <c r="D47" s="42">
        <v>46240</v>
      </c>
      <c r="E47" s="52" t="s">
        <v>39</v>
      </c>
      <c r="F47" s="30" t="s">
        <v>40</v>
      </c>
      <c r="G47" s="47" t="s">
        <v>36</v>
      </c>
      <c r="H47" s="53">
        <v>113010499</v>
      </c>
      <c r="I47" s="53" t="s">
        <v>165</v>
      </c>
      <c r="J47" s="47">
        <v>1500</v>
      </c>
      <c r="K47" s="29">
        <v>14.1</v>
      </c>
      <c r="L47" s="47">
        <v>21150</v>
      </c>
      <c r="M47" s="47">
        <v>21150</v>
      </c>
      <c r="N47" s="47" t="s">
        <v>31</v>
      </c>
      <c r="O47" s="42">
        <v>46241</v>
      </c>
      <c r="P47" s="42">
        <v>46244</v>
      </c>
      <c r="Q47" s="42">
        <v>46251</v>
      </c>
      <c r="R47" s="42">
        <v>46252</v>
      </c>
      <c r="S47" s="42"/>
      <c r="T47" s="33">
        <f ca="1" t="shared" si="4"/>
        <v>21</v>
      </c>
      <c r="U47" s="42"/>
      <c r="V47" s="3"/>
      <c r="XEZ47" s="61"/>
      <c r="XFA47" s="62"/>
      <c r="XFB47" s="63"/>
      <c r="XFC47" s="63"/>
      <c r="XFD47" s="64"/>
    </row>
    <row r="48" s="1" customFormat="1" ht="14.1" customHeight="1" spans="1:22 16380:16384">
      <c r="A48" s="51" t="s">
        <v>166</v>
      </c>
      <c r="B48" s="51">
        <v>46240</v>
      </c>
      <c r="C48" s="42">
        <v>9500224642</v>
      </c>
      <c r="D48" s="42">
        <v>46238</v>
      </c>
      <c r="E48" s="52" t="s">
        <v>53</v>
      </c>
      <c r="F48" s="30" t="s">
        <v>54</v>
      </c>
      <c r="G48" s="47" t="s">
        <v>28</v>
      </c>
      <c r="H48" s="53">
        <v>2111674</v>
      </c>
      <c r="I48" s="53" t="s">
        <v>167</v>
      </c>
      <c r="J48" s="47">
        <v>6000</v>
      </c>
      <c r="K48" s="29">
        <v>11</v>
      </c>
      <c r="L48" s="47">
        <v>66000</v>
      </c>
      <c r="M48" s="47">
        <v>66000</v>
      </c>
      <c r="N48" s="47" t="s">
        <v>18</v>
      </c>
      <c r="O48" s="42">
        <v>46253</v>
      </c>
      <c r="P48" s="42">
        <v>46253</v>
      </c>
      <c r="Q48" s="42"/>
      <c r="R48" s="42"/>
      <c r="S48" s="42"/>
      <c r="T48" s="33">
        <f ca="1" t="shared" ref="T48:T52" si="5">TODAY()-U48</f>
        <v>14</v>
      </c>
      <c r="U48" s="42">
        <v>46247</v>
      </c>
      <c r="V48" s="3"/>
      <c r="XEZ48" s="61"/>
      <c r="XFA48" s="62"/>
      <c r="XFB48" s="63"/>
      <c r="XFC48" s="63"/>
      <c r="XFD48" s="64"/>
    </row>
    <row r="49" s="1" customFormat="1" ht="14.1" customHeight="1" spans="1:22 16376:16384">
      <c r="A49" s="51" t="s">
        <v>168</v>
      </c>
      <c r="B49" s="51">
        <v>46240</v>
      </c>
      <c r="C49" s="42">
        <v>9500224642</v>
      </c>
      <c r="D49" s="42">
        <v>46238</v>
      </c>
      <c r="E49" s="52" t="s">
        <v>53</v>
      </c>
      <c r="F49" s="30" t="s">
        <v>54</v>
      </c>
      <c r="G49" s="47" t="s">
        <v>28</v>
      </c>
      <c r="H49" s="53">
        <v>2111350</v>
      </c>
      <c r="I49" s="53" t="s">
        <v>169</v>
      </c>
      <c r="J49" s="47">
        <v>2000</v>
      </c>
      <c r="K49" s="29">
        <v>11</v>
      </c>
      <c r="L49" s="47">
        <v>22000</v>
      </c>
      <c r="M49" s="47">
        <v>22000</v>
      </c>
      <c r="N49" s="42" t="s">
        <v>170</v>
      </c>
      <c r="O49" s="42">
        <v>46253</v>
      </c>
      <c r="P49" s="42">
        <v>46253</v>
      </c>
      <c r="Q49" s="42"/>
      <c r="R49" s="42"/>
      <c r="S49" s="42"/>
      <c r="T49" s="33">
        <f ca="1" t="shared" si="5"/>
        <v>2</v>
      </c>
      <c r="U49" s="66">
        <v>46259</v>
      </c>
      <c r="V49" s="3"/>
      <c r="XEZ49" s="61"/>
      <c r="XFA49" s="62"/>
      <c r="XFB49" s="63"/>
      <c r="XFC49" s="63"/>
      <c r="XFD49" s="64"/>
    </row>
    <row r="50" s="1" customFormat="1" ht="14.1" customHeight="1" spans="1:22 16376:16384">
      <c r="A50" s="51" t="s">
        <v>171</v>
      </c>
      <c r="B50" s="51">
        <v>46240</v>
      </c>
      <c r="C50" s="42">
        <v>111043456</v>
      </c>
      <c r="D50" s="42" t="s">
        <v>172</v>
      </c>
      <c r="E50" s="52" t="s">
        <v>39</v>
      </c>
      <c r="F50" s="30" t="s">
        <v>40</v>
      </c>
      <c r="G50" s="47" t="s">
        <v>28</v>
      </c>
      <c r="H50" s="53">
        <v>113008130</v>
      </c>
      <c r="I50" s="53" t="s">
        <v>173</v>
      </c>
      <c r="J50" s="47">
        <v>5000</v>
      </c>
      <c r="K50" s="29">
        <v>14.3</v>
      </c>
      <c r="L50" s="47">
        <v>71500</v>
      </c>
      <c r="M50" s="47">
        <v>71500</v>
      </c>
      <c r="N50" s="47" t="s">
        <v>18</v>
      </c>
      <c r="O50" s="42">
        <v>46254</v>
      </c>
      <c r="P50" s="42">
        <v>46255</v>
      </c>
      <c r="Q50" s="42"/>
      <c r="R50" s="42"/>
      <c r="S50" s="42"/>
      <c r="T50" s="33">
        <f ca="1" t="shared" si="5"/>
        <v>14</v>
      </c>
      <c r="U50" s="42">
        <v>46247</v>
      </c>
      <c r="V50" s="3"/>
      <c r="XEZ50" s="61"/>
      <c r="XFA50" s="62"/>
      <c r="XFB50" s="63"/>
      <c r="XFC50" s="63"/>
      <c r="XFD50" s="64"/>
    </row>
    <row r="51" s="1" customFormat="1" ht="14.1" customHeight="1" spans="1:22 16376:16384">
      <c r="A51" s="51" t="s">
        <v>174</v>
      </c>
      <c r="B51" s="51">
        <v>46240</v>
      </c>
      <c r="C51" s="42">
        <v>111043456</v>
      </c>
      <c r="D51" s="42" t="s">
        <v>172</v>
      </c>
      <c r="E51" s="52" t="s">
        <v>39</v>
      </c>
      <c r="F51" s="30" t="s">
        <v>40</v>
      </c>
      <c r="G51" s="47" t="s">
        <v>28</v>
      </c>
      <c r="H51" s="53">
        <v>113011420</v>
      </c>
      <c r="I51" s="53" t="s">
        <v>175</v>
      </c>
      <c r="J51" s="47">
        <v>2500</v>
      </c>
      <c r="K51" s="29">
        <v>14</v>
      </c>
      <c r="L51" s="47">
        <v>35000</v>
      </c>
      <c r="M51" s="47">
        <v>35000</v>
      </c>
      <c r="N51" s="47" t="s">
        <v>18</v>
      </c>
      <c r="O51" s="42">
        <v>46253</v>
      </c>
      <c r="P51" s="42">
        <v>46253</v>
      </c>
      <c r="Q51" s="42"/>
      <c r="R51" s="42"/>
      <c r="S51" s="42"/>
      <c r="T51" s="33">
        <f ca="1" t="shared" si="5"/>
        <v>15</v>
      </c>
      <c r="U51" s="42">
        <v>46246</v>
      </c>
      <c r="V51" s="3"/>
      <c r="XEZ51" s="61"/>
      <c r="XFA51" s="62"/>
      <c r="XFB51" s="63"/>
      <c r="XFC51" s="63"/>
      <c r="XFD51" s="64"/>
    </row>
    <row r="52" s="1" customFormat="1" ht="14.1" customHeight="1" spans="1:22 16376:16384">
      <c r="A52" s="51" t="s">
        <v>176</v>
      </c>
      <c r="B52" s="51">
        <v>46240</v>
      </c>
      <c r="C52" s="42">
        <v>111043456</v>
      </c>
      <c r="D52" s="42" t="s">
        <v>172</v>
      </c>
      <c r="E52" s="52" t="s">
        <v>39</v>
      </c>
      <c r="F52" s="30" t="s">
        <v>40</v>
      </c>
      <c r="G52" s="47" t="s">
        <v>28</v>
      </c>
      <c r="H52" s="53">
        <v>113012557</v>
      </c>
      <c r="I52" s="53" t="s">
        <v>177</v>
      </c>
      <c r="J52" s="47">
        <v>23500</v>
      </c>
      <c r="K52" s="29">
        <v>2.6</v>
      </c>
      <c r="L52" s="47">
        <v>61100</v>
      </c>
      <c r="M52" s="47">
        <v>61100</v>
      </c>
      <c r="N52" s="47" t="s">
        <v>18</v>
      </c>
      <c r="O52" s="42">
        <v>46253</v>
      </c>
      <c r="P52" s="42">
        <v>46253</v>
      </c>
      <c r="Q52" s="42"/>
      <c r="R52" s="42"/>
      <c r="S52" s="42"/>
      <c r="T52" s="33">
        <f ca="1" t="shared" si="5"/>
        <v>15</v>
      </c>
      <c r="U52" s="42">
        <v>46246</v>
      </c>
      <c r="V52" s="3"/>
      <c r="XEZ52" s="61"/>
      <c r="XFA52" s="62"/>
      <c r="XFB52" s="63"/>
      <c r="XFC52" s="63"/>
      <c r="XFD52" s="64"/>
    </row>
    <row r="53" s="1" customFormat="1" ht="14.1" customHeight="1" spans="1:22 16376:16384">
      <c r="A53" s="51" t="s">
        <v>178</v>
      </c>
      <c r="B53" s="51">
        <v>46240</v>
      </c>
      <c r="C53" s="42">
        <v>111043456</v>
      </c>
      <c r="D53" s="42" t="s">
        <v>172</v>
      </c>
      <c r="E53" s="52" t="s">
        <v>39</v>
      </c>
      <c r="F53" s="30" t="s">
        <v>40</v>
      </c>
      <c r="G53" s="47" t="s">
        <v>28</v>
      </c>
      <c r="H53" s="53">
        <v>113008129</v>
      </c>
      <c r="I53" s="53" t="s">
        <v>179</v>
      </c>
      <c r="J53" s="47">
        <v>125200</v>
      </c>
      <c r="K53" s="29">
        <v>0.93</v>
      </c>
      <c r="L53" s="47">
        <v>116436</v>
      </c>
      <c r="M53" s="47">
        <v>116436</v>
      </c>
      <c r="N53" s="47" t="s">
        <v>42</v>
      </c>
      <c r="O53" s="42"/>
      <c r="P53" s="42"/>
      <c r="Q53" s="42"/>
      <c r="R53" s="42"/>
      <c r="S53" s="42"/>
      <c r="T53" s="33">
        <f ca="1">TODAY()-B53</f>
        <v>21</v>
      </c>
      <c r="U53" s="42"/>
      <c r="V53" s="3"/>
      <c r="XEZ53" s="61"/>
      <c r="XFA53" s="62"/>
      <c r="XFB53" s="63"/>
      <c r="XFC53" s="63"/>
      <c r="XFD53" s="64"/>
    </row>
    <row r="54" s="1" customFormat="1" ht="14.1" customHeight="1" spans="1:22 16376:16384">
      <c r="A54" s="51" t="s">
        <v>180</v>
      </c>
      <c r="B54" s="51">
        <v>46240</v>
      </c>
      <c r="C54" s="42">
        <v>111043456</v>
      </c>
      <c r="D54" s="42" t="s">
        <v>172</v>
      </c>
      <c r="E54" s="52" t="s">
        <v>39</v>
      </c>
      <c r="F54" s="30" t="s">
        <v>40</v>
      </c>
      <c r="G54" s="47" t="s">
        <v>28</v>
      </c>
      <c r="H54" s="53">
        <v>113014824</v>
      </c>
      <c r="I54" s="53" t="s">
        <v>181</v>
      </c>
      <c r="J54" s="47">
        <v>500000</v>
      </c>
      <c r="K54" s="29">
        <v>0.82</v>
      </c>
      <c r="L54" s="47">
        <v>410000</v>
      </c>
      <c r="M54" s="47">
        <v>410000</v>
      </c>
      <c r="N54" s="47" t="s">
        <v>42</v>
      </c>
      <c r="O54" s="42"/>
      <c r="P54" s="42"/>
      <c r="Q54" s="42"/>
      <c r="R54" s="42"/>
      <c r="S54" s="42"/>
      <c r="T54" s="33">
        <f ca="1" t="shared" ref="T54:T61" si="6">TODAY()-U54</f>
        <v>15</v>
      </c>
      <c r="U54" s="42">
        <v>46246</v>
      </c>
      <c r="V54" s="3"/>
      <c r="XEZ54" s="61"/>
      <c r="XFA54" s="62"/>
      <c r="XFB54" s="63"/>
      <c r="XFC54" s="63"/>
      <c r="XFD54" s="64"/>
    </row>
    <row r="55" s="1" customFormat="1" ht="14.1" customHeight="1" spans="1:22 16376:16384">
      <c r="A55" s="51" t="s">
        <v>182</v>
      </c>
      <c r="B55" s="51">
        <v>46240</v>
      </c>
      <c r="C55" s="42">
        <v>111043446</v>
      </c>
      <c r="D55" s="42">
        <v>46237</v>
      </c>
      <c r="E55" s="52" t="s">
        <v>39</v>
      </c>
      <c r="F55" s="30" t="s">
        <v>40</v>
      </c>
      <c r="G55" s="47" t="s">
        <v>28</v>
      </c>
      <c r="H55" s="53">
        <v>113006819</v>
      </c>
      <c r="I55" s="53" t="s">
        <v>183</v>
      </c>
      <c r="J55" s="47">
        <v>10000</v>
      </c>
      <c r="K55" s="29">
        <v>8.26</v>
      </c>
      <c r="L55" s="47">
        <v>82600</v>
      </c>
      <c r="M55" s="47">
        <v>82600</v>
      </c>
      <c r="N55" s="47" t="s">
        <v>136</v>
      </c>
      <c r="O55" s="42">
        <v>46253</v>
      </c>
      <c r="P55" s="42">
        <v>46253</v>
      </c>
      <c r="Q55" s="42"/>
      <c r="R55" s="42"/>
      <c r="S55" s="48">
        <v>46261</v>
      </c>
      <c r="T55" s="33">
        <f ca="1" t="shared" si="6"/>
        <v>15</v>
      </c>
      <c r="U55" s="42">
        <v>46246</v>
      </c>
      <c r="V55" s="3"/>
      <c r="XEZ55" s="61"/>
      <c r="XFA55" s="62"/>
      <c r="XFB55" s="63"/>
      <c r="XFC55" s="63"/>
      <c r="XFD55" s="64"/>
    </row>
    <row r="56" s="1" customFormat="1" ht="14.1" customHeight="1" spans="1:22 16376:16384">
      <c r="A56" s="51" t="s">
        <v>184</v>
      </c>
      <c r="B56" s="51">
        <v>46240</v>
      </c>
      <c r="C56" s="42">
        <v>111043446</v>
      </c>
      <c r="D56" s="42">
        <v>46237</v>
      </c>
      <c r="E56" s="52" t="s">
        <v>39</v>
      </c>
      <c r="F56" s="30" t="s">
        <v>40</v>
      </c>
      <c r="G56" s="47" t="s">
        <v>36</v>
      </c>
      <c r="H56" s="53">
        <v>113014691</v>
      </c>
      <c r="I56" s="53" t="s">
        <v>185</v>
      </c>
      <c r="J56" s="47">
        <v>199000</v>
      </c>
      <c r="K56" s="29">
        <v>1.36</v>
      </c>
      <c r="L56" s="47">
        <v>270640</v>
      </c>
      <c r="M56" s="47">
        <v>270640</v>
      </c>
      <c r="N56" s="47" t="s">
        <v>31</v>
      </c>
      <c r="O56" s="42">
        <v>46241</v>
      </c>
      <c r="P56" s="42">
        <v>46248</v>
      </c>
      <c r="Q56" s="42">
        <v>46253</v>
      </c>
      <c r="R56" s="42">
        <v>46254</v>
      </c>
      <c r="S56" s="42"/>
      <c r="T56" s="33">
        <f ca="1">TODAY()-B56</f>
        <v>21</v>
      </c>
      <c r="U56" s="42"/>
      <c r="V56" s="3"/>
      <c r="XEZ56" s="61"/>
      <c r="XFA56" s="62"/>
      <c r="XFB56" s="63"/>
      <c r="XFC56" s="63"/>
      <c r="XFD56" s="64"/>
    </row>
    <row r="57" s="1" customFormat="1" ht="14.1" customHeight="1" spans="1:22 16376:16384">
      <c r="A57" s="51" t="s">
        <v>186</v>
      </c>
      <c r="B57" s="51">
        <v>46240</v>
      </c>
      <c r="C57" s="42">
        <v>111043446</v>
      </c>
      <c r="D57" s="42">
        <v>46237</v>
      </c>
      <c r="E57" s="52" t="s">
        <v>39</v>
      </c>
      <c r="F57" s="30" t="s">
        <v>40</v>
      </c>
      <c r="G57" s="47" t="s">
        <v>28</v>
      </c>
      <c r="H57" s="53">
        <v>113006818</v>
      </c>
      <c r="I57" s="53" t="s">
        <v>187</v>
      </c>
      <c r="J57" s="47">
        <v>247000</v>
      </c>
      <c r="K57" s="29">
        <v>1.22</v>
      </c>
      <c r="L57" s="47">
        <v>301340</v>
      </c>
      <c r="M57" s="47">
        <v>301340</v>
      </c>
      <c r="N57" s="47" t="s">
        <v>18</v>
      </c>
      <c r="O57" s="42">
        <v>46253</v>
      </c>
      <c r="P57" s="42"/>
      <c r="Q57" s="42"/>
      <c r="R57" s="42"/>
      <c r="S57" s="42"/>
      <c r="T57" s="33">
        <f ca="1" t="shared" si="6"/>
        <v>15</v>
      </c>
      <c r="U57" s="42">
        <v>46246</v>
      </c>
      <c r="V57" s="3"/>
      <c r="XEZ57" s="61"/>
      <c r="XFA57" s="62"/>
      <c r="XFB57" s="63"/>
      <c r="XFC57" s="63"/>
      <c r="XFD57" s="64"/>
    </row>
    <row r="58" s="1" customFormat="1" ht="14.1" customHeight="1" spans="1:22 16376:16384">
      <c r="A58" s="51" t="s">
        <v>188</v>
      </c>
      <c r="B58" s="51">
        <v>46240</v>
      </c>
      <c r="C58" s="42">
        <v>4900554394</v>
      </c>
      <c r="D58" s="42">
        <v>46237</v>
      </c>
      <c r="E58" s="52" t="s">
        <v>48</v>
      </c>
      <c r="F58" s="58" t="s">
        <v>189</v>
      </c>
      <c r="G58" s="47" t="s">
        <v>28</v>
      </c>
      <c r="H58" s="53">
        <v>680001330</v>
      </c>
      <c r="I58" s="53" t="s">
        <v>190</v>
      </c>
      <c r="J58" s="47">
        <v>200</v>
      </c>
      <c r="K58" s="29">
        <v>37.5</v>
      </c>
      <c r="L58" s="47">
        <v>7500</v>
      </c>
      <c r="M58" s="47">
        <v>7500</v>
      </c>
      <c r="N58" s="47" t="s">
        <v>88</v>
      </c>
      <c r="O58" s="42">
        <v>46255</v>
      </c>
      <c r="P58" s="42">
        <v>46258</v>
      </c>
      <c r="Q58" s="42"/>
      <c r="R58" s="42"/>
      <c r="S58" s="42"/>
      <c r="T58" s="33">
        <f ca="1" t="shared" si="6"/>
        <v>13</v>
      </c>
      <c r="U58" s="42">
        <v>46248</v>
      </c>
      <c r="V58" s="3"/>
      <c r="XEZ58" s="61"/>
      <c r="XFA58" s="62"/>
      <c r="XFB58" s="63"/>
      <c r="XFC58" s="63"/>
      <c r="XFD58" s="64"/>
    </row>
    <row r="59" s="1" customFormat="1" ht="14.1" customHeight="1" spans="1:22 16376:16384">
      <c r="A59" s="51" t="s">
        <v>191</v>
      </c>
      <c r="B59" s="51">
        <v>46240</v>
      </c>
      <c r="C59" s="42">
        <v>4900554394</v>
      </c>
      <c r="D59" s="42">
        <v>46237</v>
      </c>
      <c r="E59" s="52" t="s">
        <v>48</v>
      </c>
      <c r="F59" s="58" t="s">
        <v>189</v>
      </c>
      <c r="G59" s="47" t="s">
        <v>28</v>
      </c>
      <c r="H59" s="53">
        <v>680001331</v>
      </c>
      <c r="I59" s="53" t="s">
        <v>192</v>
      </c>
      <c r="J59" s="47">
        <v>200</v>
      </c>
      <c r="K59" s="29">
        <v>35</v>
      </c>
      <c r="L59" s="47">
        <v>7000</v>
      </c>
      <c r="M59" s="47">
        <v>7000</v>
      </c>
      <c r="N59" s="47" t="s">
        <v>88</v>
      </c>
      <c r="O59" s="42">
        <v>46255</v>
      </c>
      <c r="P59" s="42">
        <v>46258</v>
      </c>
      <c r="Q59" s="42"/>
      <c r="R59" s="42"/>
      <c r="S59" s="42"/>
      <c r="T59" s="33">
        <f ca="1" t="shared" si="6"/>
        <v>13</v>
      </c>
      <c r="U59" s="42">
        <v>46248</v>
      </c>
      <c r="V59" s="3"/>
      <c r="XEZ59" s="61"/>
      <c r="XFA59" s="62"/>
      <c r="XFB59" s="63"/>
      <c r="XFC59" s="63"/>
      <c r="XFD59" s="64"/>
    </row>
    <row r="60" s="1" customFormat="1" ht="14.1" customHeight="1" spans="1:22 16376:16384">
      <c r="A60" s="51" t="s">
        <v>193</v>
      </c>
      <c r="B60" s="51">
        <v>46240</v>
      </c>
      <c r="C60" s="42">
        <v>4900554394</v>
      </c>
      <c r="D60" s="42">
        <v>46237</v>
      </c>
      <c r="E60" s="52" t="s">
        <v>48</v>
      </c>
      <c r="F60" s="58" t="s">
        <v>189</v>
      </c>
      <c r="G60" s="47" t="s">
        <v>28</v>
      </c>
      <c r="H60" s="53">
        <v>680001332</v>
      </c>
      <c r="I60" s="53" t="s">
        <v>194</v>
      </c>
      <c r="J60" s="47">
        <v>20</v>
      </c>
      <c r="K60" s="29">
        <v>975</v>
      </c>
      <c r="L60" s="47">
        <v>19500</v>
      </c>
      <c r="M60" s="47">
        <v>19500</v>
      </c>
      <c r="N60" s="47" t="s">
        <v>88</v>
      </c>
      <c r="O60" s="42">
        <v>46255</v>
      </c>
      <c r="P60" s="42">
        <v>46258</v>
      </c>
      <c r="Q60" s="42"/>
      <c r="R60" s="42"/>
      <c r="S60" s="42"/>
      <c r="T60" s="33">
        <f ca="1" t="shared" si="6"/>
        <v>13</v>
      </c>
      <c r="U60" s="42">
        <v>46248</v>
      </c>
      <c r="V60" s="3"/>
      <c r="XEZ60" s="61"/>
      <c r="XFA60" s="62"/>
      <c r="XFB60" s="63"/>
      <c r="XFC60" s="63"/>
      <c r="XFD60" s="64"/>
    </row>
    <row r="61" s="1" customFormat="1" ht="14.1" customHeight="1" spans="1:22 16376:16384">
      <c r="A61" s="51" t="s">
        <v>195</v>
      </c>
      <c r="B61" s="51">
        <v>46240</v>
      </c>
      <c r="C61" s="42">
        <v>4900554394</v>
      </c>
      <c r="D61" s="42">
        <v>46237</v>
      </c>
      <c r="E61" s="52" t="s">
        <v>48</v>
      </c>
      <c r="F61" s="58" t="s">
        <v>189</v>
      </c>
      <c r="G61" s="47" t="s">
        <v>28</v>
      </c>
      <c r="H61" s="53">
        <v>680001333</v>
      </c>
      <c r="I61" s="53" t="s">
        <v>196</v>
      </c>
      <c r="J61" s="47">
        <v>20</v>
      </c>
      <c r="K61" s="29">
        <v>1000</v>
      </c>
      <c r="L61" s="47">
        <v>20000</v>
      </c>
      <c r="M61" s="47">
        <v>20000</v>
      </c>
      <c r="N61" s="47" t="s">
        <v>88</v>
      </c>
      <c r="O61" s="42">
        <v>46255</v>
      </c>
      <c r="P61" s="42">
        <v>46258</v>
      </c>
      <c r="Q61" s="42"/>
      <c r="R61" s="42"/>
      <c r="S61" s="42"/>
      <c r="T61" s="33">
        <f ca="1" t="shared" si="6"/>
        <v>13</v>
      </c>
      <c r="U61" s="42">
        <v>46248</v>
      </c>
      <c r="V61" s="3"/>
      <c r="XEZ61" s="61"/>
      <c r="XFA61" s="62"/>
      <c r="XFB61" s="63"/>
      <c r="XFC61" s="63"/>
      <c r="XFD61" s="64"/>
    </row>
    <row r="62" s="1" customFormat="1" ht="14.1" customHeight="1" spans="1:22 16376:16384">
      <c r="A62" s="51" t="s">
        <v>197</v>
      </c>
      <c r="B62" s="51">
        <v>46241</v>
      </c>
      <c r="C62" s="42">
        <v>9500223699</v>
      </c>
      <c r="D62" s="42">
        <v>46235</v>
      </c>
      <c r="E62" s="52" t="s">
        <v>198</v>
      </c>
      <c r="F62" s="30" t="s">
        <v>199</v>
      </c>
      <c r="G62" s="47" t="s">
        <v>28</v>
      </c>
      <c r="H62" s="53">
        <v>2113202</v>
      </c>
      <c r="I62" s="53" t="s">
        <v>200</v>
      </c>
      <c r="J62" s="47">
        <v>10000</v>
      </c>
      <c r="K62" s="47">
        <v>4</v>
      </c>
      <c r="L62" s="47">
        <v>10000</v>
      </c>
      <c r="M62" s="47">
        <v>40000</v>
      </c>
      <c r="N62" s="42" t="s">
        <v>88</v>
      </c>
      <c r="O62" s="42">
        <v>46245</v>
      </c>
      <c r="P62" s="42">
        <v>46247</v>
      </c>
      <c r="Q62" s="42">
        <v>46255</v>
      </c>
      <c r="R62" s="42"/>
      <c r="S62" s="48">
        <v>46261</v>
      </c>
      <c r="T62" s="33">
        <f ca="1" t="shared" ref="T62:T73" si="7">TODAY()-B62</f>
        <v>20</v>
      </c>
      <c r="XEV62" s="61"/>
      <c r="XEW62" s="62"/>
      <c r="XEX62" s="63"/>
      <c r="XEY62" s="63"/>
      <c r="XEZ62" s="64"/>
      <c r="XFA62" s="47"/>
      <c r="XFB62" s="51"/>
      <c r="XFC62" s="42"/>
      <c r="XFD62" s="42"/>
    </row>
    <row r="63" s="1" customFormat="1" ht="14.1" customHeight="1" spans="1:22 16376:16384">
      <c r="A63" s="51" t="s">
        <v>201</v>
      </c>
      <c r="B63" s="51">
        <v>46241</v>
      </c>
      <c r="C63" s="42">
        <v>4510210650</v>
      </c>
      <c r="D63" s="42">
        <v>46209</v>
      </c>
      <c r="E63" s="52" t="s">
        <v>48</v>
      </c>
      <c r="F63" s="30" t="s">
        <v>49</v>
      </c>
      <c r="G63" s="47" t="s">
        <v>36</v>
      </c>
      <c r="H63" s="53">
        <v>1229703</v>
      </c>
      <c r="I63" s="53" t="s">
        <v>202</v>
      </c>
      <c r="J63" s="47">
        <v>33000</v>
      </c>
      <c r="K63" s="47">
        <v>2.01</v>
      </c>
      <c r="L63" s="47">
        <v>33000</v>
      </c>
      <c r="M63" s="47">
        <v>66330</v>
      </c>
      <c r="N63" s="42" t="s">
        <v>31</v>
      </c>
      <c r="O63" s="42">
        <v>46244</v>
      </c>
      <c r="P63" s="42">
        <v>46245</v>
      </c>
      <c r="Q63" s="42">
        <v>46251</v>
      </c>
      <c r="R63" s="42">
        <v>46253</v>
      </c>
      <c r="S63" s="42"/>
      <c r="T63" s="33">
        <f ca="1" t="shared" si="7"/>
        <v>20</v>
      </c>
      <c r="XEV63" s="61"/>
      <c r="XEW63" s="62"/>
      <c r="XEX63" s="63"/>
      <c r="XEY63" s="63"/>
      <c r="XEZ63" s="64"/>
      <c r="XFA63" s="47"/>
      <c r="XFB63" s="51"/>
      <c r="XFC63" s="42"/>
      <c r="XFD63" s="42"/>
    </row>
    <row r="64" s="1" customFormat="1" ht="14.1" customHeight="1" spans="1:22 16376:16384">
      <c r="A64" s="51" t="s">
        <v>203</v>
      </c>
      <c r="B64" s="51">
        <v>46244</v>
      </c>
      <c r="C64" s="42">
        <v>4500067852</v>
      </c>
      <c r="D64" s="42">
        <v>46230</v>
      </c>
      <c r="E64" s="52" t="s">
        <v>204</v>
      </c>
      <c r="F64" s="30" t="s">
        <v>205</v>
      </c>
      <c r="G64" s="47" t="s">
        <v>36</v>
      </c>
      <c r="H64" s="53">
        <v>8501080</v>
      </c>
      <c r="I64" s="53" t="s">
        <v>206</v>
      </c>
      <c r="J64" s="47">
        <v>16000</v>
      </c>
      <c r="K64" s="47">
        <v>4.4</v>
      </c>
      <c r="L64" s="47">
        <v>16000</v>
      </c>
      <c r="M64" s="47">
        <v>70400</v>
      </c>
      <c r="N64" s="47" t="s">
        <v>88</v>
      </c>
      <c r="O64" s="42">
        <v>46244</v>
      </c>
      <c r="P64" s="42">
        <v>46247</v>
      </c>
      <c r="Q64" s="42">
        <v>46255</v>
      </c>
      <c r="R64" s="42"/>
      <c r="S64" s="42"/>
      <c r="T64" s="33">
        <f ca="1" t="shared" si="7"/>
        <v>17</v>
      </c>
      <c r="XEV64" s="61"/>
      <c r="XEW64" s="62"/>
      <c r="XEX64" s="63"/>
      <c r="XEY64" s="63"/>
      <c r="XEZ64" s="64"/>
      <c r="XFA64" s="47"/>
      <c r="XFB64" s="51"/>
      <c r="XFC64" s="42"/>
      <c r="XFD64" s="42"/>
    </row>
    <row r="65" s="1" customFormat="1" ht="14.1" customHeight="1" spans="1:21 16376:16384">
      <c r="A65" s="47" t="s">
        <v>207</v>
      </c>
      <c r="B65" s="51">
        <v>46246</v>
      </c>
      <c r="C65" s="42">
        <v>4900555722</v>
      </c>
      <c r="D65" s="42">
        <v>46245</v>
      </c>
      <c r="E65" s="52" t="s">
        <v>48</v>
      </c>
      <c r="F65" s="30" t="s">
        <v>189</v>
      </c>
      <c r="G65" s="47" t="s">
        <v>36</v>
      </c>
      <c r="H65" s="53">
        <v>680001156</v>
      </c>
      <c r="I65" s="53" t="s">
        <v>208</v>
      </c>
      <c r="J65" s="47">
        <v>75000</v>
      </c>
      <c r="K65" s="47">
        <v>1.28</v>
      </c>
      <c r="L65" s="47">
        <v>75000</v>
      </c>
      <c r="M65" s="47">
        <v>96000</v>
      </c>
      <c r="N65" s="42" t="s">
        <v>88</v>
      </c>
      <c r="O65" s="42">
        <v>46247</v>
      </c>
      <c r="P65" s="42">
        <v>46255</v>
      </c>
      <c r="Q65" s="42">
        <v>46255</v>
      </c>
      <c r="R65" s="42"/>
      <c r="S65" s="48">
        <v>46263</v>
      </c>
      <c r="T65" s="33">
        <f ca="1" t="shared" si="7"/>
        <v>15</v>
      </c>
      <c r="XEV65" s="61"/>
      <c r="XEW65" s="62"/>
      <c r="XEX65" s="63"/>
      <c r="XEY65" s="63"/>
      <c r="XEZ65" s="64"/>
      <c r="XFA65" s="47"/>
      <c r="XFB65" s="51"/>
      <c r="XFC65" s="42"/>
      <c r="XFD65" s="42"/>
    </row>
    <row r="66" s="1" customFormat="1" ht="14.1" customHeight="1" spans="1:21 16376:16384">
      <c r="A66" s="47" t="s">
        <v>209</v>
      </c>
      <c r="B66" s="51">
        <v>46246</v>
      </c>
      <c r="C66" s="42">
        <v>8110001514</v>
      </c>
      <c r="D66" s="42">
        <v>46244</v>
      </c>
      <c r="E66" s="52" t="s">
        <v>44</v>
      </c>
      <c r="F66" s="58" t="s">
        <v>45</v>
      </c>
      <c r="G66" s="47" t="s">
        <v>36</v>
      </c>
      <c r="H66" s="53">
        <v>1052737</v>
      </c>
      <c r="I66" s="53" t="s">
        <v>210</v>
      </c>
      <c r="J66" s="47">
        <v>5000</v>
      </c>
      <c r="K66" s="47">
        <v>8.34</v>
      </c>
      <c r="L66" s="47">
        <v>5000</v>
      </c>
      <c r="M66" s="47">
        <v>41700</v>
      </c>
      <c r="N66" s="47" t="s">
        <v>88</v>
      </c>
      <c r="O66" s="42">
        <v>46247</v>
      </c>
      <c r="P66" s="42">
        <v>46251</v>
      </c>
      <c r="Q66" s="42">
        <v>46259</v>
      </c>
      <c r="R66" s="42"/>
      <c r="S66" s="48">
        <v>46261</v>
      </c>
      <c r="T66" s="33">
        <f ca="1" t="shared" si="7"/>
        <v>15</v>
      </c>
      <c r="XEV66" s="61"/>
      <c r="XEW66" s="62"/>
      <c r="XEX66" s="63"/>
      <c r="XEY66" s="63"/>
      <c r="XEZ66" s="64"/>
      <c r="XFA66" s="47"/>
      <c r="XFB66" s="51"/>
      <c r="XFC66" s="42"/>
      <c r="XFD66" s="42"/>
    </row>
    <row r="67" s="1" customFormat="1" ht="14.1" customHeight="1" spans="1:21 16376:16384">
      <c r="A67" s="47" t="s">
        <v>211</v>
      </c>
      <c r="B67" s="51">
        <v>46246</v>
      </c>
      <c r="C67" s="42">
        <v>111043627</v>
      </c>
      <c r="D67" s="42">
        <v>46244</v>
      </c>
      <c r="E67" s="52" t="s">
        <v>39</v>
      </c>
      <c r="F67" s="30" t="s">
        <v>40</v>
      </c>
      <c r="G67" s="47" t="s">
        <v>28</v>
      </c>
      <c r="H67" s="53">
        <v>113015098</v>
      </c>
      <c r="I67" s="53" t="s">
        <v>212</v>
      </c>
      <c r="J67" s="47">
        <v>100200</v>
      </c>
      <c r="K67" s="47">
        <v>0.99</v>
      </c>
      <c r="L67" s="47">
        <v>100200</v>
      </c>
      <c r="M67" s="47">
        <v>99198</v>
      </c>
      <c r="N67" s="42" t="s">
        <v>31</v>
      </c>
      <c r="O67" s="42">
        <v>46253</v>
      </c>
      <c r="P67" s="42">
        <v>46253</v>
      </c>
      <c r="Q67" s="42">
        <v>46256</v>
      </c>
      <c r="R67" s="42">
        <v>46258</v>
      </c>
      <c r="S67" s="48">
        <v>46261</v>
      </c>
      <c r="T67" s="33">
        <f ca="1" t="shared" si="7"/>
        <v>15</v>
      </c>
      <c r="XEV67" s="61"/>
      <c r="XEW67" s="62"/>
      <c r="XEX67" s="63"/>
      <c r="XEY67" s="63"/>
      <c r="XEZ67" s="64"/>
      <c r="XFA67" s="47"/>
      <c r="XFB67" s="51"/>
      <c r="XFC67" s="42"/>
      <c r="XFD67" s="42"/>
    </row>
    <row r="68" s="1" customFormat="1" ht="14.1" customHeight="1" spans="1:21 16376:16384">
      <c r="A68" s="47" t="s">
        <v>213</v>
      </c>
      <c r="B68" s="51">
        <v>46247</v>
      </c>
      <c r="C68" s="42">
        <v>4500013831</v>
      </c>
      <c r="D68" s="42">
        <v>46245</v>
      </c>
      <c r="E68" s="52" t="s">
        <v>214</v>
      </c>
      <c r="F68" s="30" t="s">
        <v>123</v>
      </c>
      <c r="G68" s="47" t="s">
        <v>36</v>
      </c>
      <c r="H68" s="53">
        <v>949129346</v>
      </c>
      <c r="I68" s="53" t="s">
        <v>215</v>
      </c>
      <c r="J68" s="47">
        <v>20000</v>
      </c>
      <c r="K68" s="47">
        <v>6.25</v>
      </c>
      <c r="L68" s="47">
        <v>20000</v>
      </c>
      <c r="M68" s="47">
        <v>125000</v>
      </c>
      <c r="N68" s="42" t="s">
        <v>80</v>
      </c>
      <c r="O68" s="42">
        <v>46248</v>
      </c>
      <c r="P68" s="42"/>
      <c r="Q68" s="42"/>
      <c r="R68" s="42"/>
      <c r="S68" s="48">
        <v>46263</v>
      </c>
      <c r="T68" s="33">
        <f ca="1" t="shared" si="7"/>
        <v>14</v>
      </c>
      <c r="XEV68" s="61"/>
      <c r="XEW68" s="62"/>
      <c r="XEX68" s="63"/>
      <c r="XEY68" s="63"/>
      <c r="XEZ68" s="64"/>
      <c r="XFA68" s="47"/>
      <c r="XFB68" s="51"/>
      <c r="XFC68" s="42"/>
      <c r="XFD68" s="42"/>
    </row>
    <row r="69" s="1" customFormat="1" ht="14.1" customHeight="1" spans="1:21 16376:16384">
      <c r="A69" s="47" t="s">
        <v>216</v>
      </c>
      <c r="B69" s="51">
        <v>46247</v>
      </c>
      <c r="C69" s="42">
        <v>4500013831</v>
      </c>
      <c r="D69" s="42">
        <v>46245</v>
      </c>
      <c r="E69" s="52" t="s">
        <v>214</v>
      </c>
      <c r="F69" s="30" t="s">
        <v>123</v>
      </c>
      <c r="G69" s="47" t="s">
        <v>36</v>
      </c>
      <c r="H69" s="53">
        <v>949129345</v>
      </c>
      <c r="I69" s="53" t="s">
        <v>217</v>
      </c>
      <c r="J69" s="47">
        <v>30000</v>
      </c>
      <c r="K69" s="47">
        <v>4.08</v>
      </c>
      <c r="L69" s="47">
        <v>30000</v>
      </c>
      <c r="M69" s="47">
        <v>122400</v>
      </c>
      <c r="N69" s="42" t="s">
        <v>80</v>
      </c>
      <c r="O69" s="42">
        <v>46248</v>
      </c>
      <c r="P69" s="42"/>
      <c r="Q69" s="42"/>
      <c r="R69" s="42"/>
      <c r="S69" s="48">
        <v>46263</v>
      </c>
      <c r="T69" s="33">
        <f ca="1" t="shared" si="7"/>
        <v>14</v>
      </c>
      <c r="XEV69" s="61"/>
      <c r="XEW69" s="62"/>
      <c r="XEX69" s="63"/>
      <c r="XEY69" s="63"/>
      <c r="XEZ69" s="64"/>
      <c r="XFA69" s="47"/>
      <c r="XFB69" s="51"/>
      <c r="XFC69" s="42"/>
      <c r="XFD69" s="42"/>
    </row>
    <row r="70" s="1" customFormat="1" ht="14.1" customHeight="1" spans="1:21 16376:16384">
      <c r="A70" s="47" t="s">
        <v>218</v>
      </c>
      <c r="B70" s="51">
        <v>46247</v>
      </c>
      <c r="C70" s="42">
        <v>4500013831</v>
      </c>
      <c r="D70" s="42">
        <v>46245</v>
      </c>
      <c r="E70" s="52" t="s">
        <v>214</v>
      </c>
      <c r="F70" s="30" t="s">
        <v>123</v>
      </c>
      <c r="G70" s="47" t="s">
        <v>36</v>
      </c>
      <c r="H70" s="53">
        <v>949129349</v>
      </c>
      <c r="I70" s="53" t="s">
        <v>219</v>
      </c>
      <c r="J70" s="47">
        <v>12000</v>
      </c>
      <c r="K70" s="47">
        <v>5.55</v>
      </c>
      <c r="L70" s="47">
        <v>12000</v>
      </c>
      <c r="M70" s="47">
        <v>66600</v>
      </c>
      <c r="N70" s="42" t="s">
        <v>31</v>
      </c>
      <c r="O70" s="42">
        <v>46248</v>
      </c>
      <c r="P70" s="42">
        <v>46252</v>
      </c>
      <c r="Q70" s="42">
        <v>46255</v>
      </c>
      <c r="R70" s="42">
        <v>46256</v>
      </c>
      <c r="S70" s="48">
        <v>46262</v>
      </c>
      <c r="T70" s="33">
        <f ca="1" t="shared" si="7"/>
        <v>14</v>
      </c>
      <c r="XEV70" s="61"/>
      <c r="XEW70" s="62"/>
      <c r="XEX70" s="63"/>
      <c r="XEY70" s="63"/>
      <c r="XEZ70" s="64"/>
      <c r="XFA70" s="47"/>
      <c r="XFB70" s="51"/>
      <c r="XFC70" s="42"/>
      <c r="XFD70" s="42"/>
    </row>
    <row r="71" s="1" customFormat="1" ht="14.1" customHeight="1" spans="1:21 16376:16384">
      <c r="A71" s="47" t="s">
        <v>220</v>
      </c>
      <c r="B71" s="51">
        <v>46247</v>
      </c>
      <c r="C71" s="42">
        <v>4500013831</v>
      </c>
      <c r="D71" s="42">
        <v>46245</v>
      </c>
      <c r="E71" s="52" t="s">
        <v>214</v>
      </c>
      <c r="F71" s="30" t="s">
        <v>123</v>
      </c>
      <c r="G71" s="47" t="s">
        <v>36</v>
      </c>
      <c r="H71" s="53">
        <v>949129350</v>
      </c>
      <c r="I71" s="53" t="s">
        <v>221</v>
      </c>
      <c r="J71" s="47">
        <v>8000</v>
      </c>
      <c r="K71" s="47">
        <v>5.55</v>
      </c>
      <c r="L71" s="47">
        <v>8000</v>
      </c>
      <c r="M71" s="47">
        <v>44400</v>
      </c>
      <c r="N71" s="42" t="s">
        <v>31</v>
      </c>
      <c r="O71" s="42">
        <v>46251</v>
      </c>
      <c r="P71" s="42">
        <v>46252</v>
      </c>
      <c r="Q71" s="42">
        <v>46255</v>
      </c>
      <c r="R71" s="42">
        <v>46258</v>
      </c>
      <c r="S71" s="48">
        <v>46262</v>
      </c>
      <c r="T71" s="33">
        <f ca="1" t="shared" si="7"/>
        <v>14</v>
      </c>
      <c r="XEV71" s="61"/>
      <c r="XEW71" s="62"/>
      <c r="XEX71" s="63"/>
      <c r="XEY71" s="63"/>
      <c r="XEZ71" s="64"/>
      <c r="XFA71" s="47"/>
      <c r="XFB71" s="51"/>
      <c r="XFC71" s="42"/>
      <c r="XFD71" s="42"/>
    </row>
    <row r="72" s="1" customFormat="1" ht="14.1" customHeight="1" spans="1:21 16376:16384">
      <c r="A72" s="47" t="s">
        <v>222</v>
      </c>
      <c r="B72" s="51">
        <v>46247</v>
      </c>
      <c r="C72" s="42">
        <v>9500226891</v>
      </c>
      <c r="D72" s="42">
        <v>46246</v>
      </c>
      <c r="E72" s="52" t="s">
        <v>198</v>
      </c>
      <c r="F72" s="30" t="s">
        <v>199</v>
      </c>
      <c r="G72" s="47" t="s">
        <v>36</v>
      </c>
      <c r="H72" s="53">
        <v>2080857</v>
      </c>
      <c r="I72" s="53" t="s">
        <v>223</v>
      </c>
      <c r="J72" s="47">
        <v>10000</v>
      </c>
      <c r="K72" s="47">
        <v>3.3</v>
      </c>
      <c r="L72" s="47">
        <v>10000</v>
      </c>
      <c r="M72" s="47">
        <v>33000</v>
      </c>
      <c r="N72" s="42" t="s">
        <v>31</v>
      </c>
      <c r="O72" s="42">
        <v>46251</v>
      </c>
      <c r="P72" s="42">
        <v>46252</v>
      </c>
      <c r="Q72" s="42">
        <v>46254</v>
      </c>
      <c r="R72" s="42">
        <v>46258</v>
      </c>
      <c r="S72" s="48">
        <v>46262</v>
      </c>
      <c r="T72" s="33">
        <f ca="1" t="shared" si="7"/>
        <v>14</v>
      </c>
      <c r="XEV72" s="61"/>
      <c r="XEW72" s="62"/>
      <c r="XEX72" s="63"/>
      <c r="XEY72" s="63"/>
      <c r="XEZ72" s="64"/>
      <c r="XFA72" s="47"/>
      <c r="XFB72" s="51"/>
      <c r="XFC72" s="42"/>
      <c r="XFD72" s="42"/>
    </row>
    <row r="73" s="1" customFormat="1" ht="14.1" customHeight="1" spans="1:21 16376:16384">
      <c r="A73" s="47" t="s">
        <v>224</v>
      </c>
      <c r="B73" s="51">
        <v>46247</v>
      </c>
      <c r="C73" s="42">
        <v>9500227452</v>
      </c>
      <c r="D73" s="42">
        <v>46247</v>
      </c>
      <c r="E73" s="52" t="s">
        <v>53</v>
      </c>
      <c r="F73" s="30" t="s">
        <v>54</v>
      </c>
      <c r="G73" s="47" t="s">
        <v>36</v>
      </c>
      <c r="H73" s="53">
        <v>2104828</v>
      </c>
      <c r="I73" s="53" t="s">
        <v>225</v>
      </c>
      <c r="J73" s="47">
        <v>145000</v>
      </c>
      <c r="K73" s="47">
        <v>1.8</v>
      </c>
      <c r="L73" s="47">
        <v>145000</v>
      </c>
      <c r="M73" s="47">
        <v>261000</v>
      </c>
      <c r="N73" s="42" t="s">
        <v>88</v>
      </c>
      <c r="O73" s="42">
        <v>46251</v>
      </c>
      <c r="P73" s="42">
        <v>46255</v>
      </c>
      <c r="Q73" s="42">
        <v>46259</v>
      </c>
      <c r="R73" s="42"/>
      <c r="S73" s="48">
        <v>46263</v>
      </c>
      <c r="T73" s="33">
        <f ca="1" t="shared" si="7"/>
        <v>14</v>
      </c>
      <c r="XEV73" s="61"/>
      <c r="XEW73" s="62"/>
      <c r="XEX73" s="63"/>
      <c r="XEY73" s="63"/>
      <c r="XEZ73" s="64"/>
      <c r="XFA73" s="47"/>
      <c r="XFB73" s="51"/>
      <c r="XFC73" s="42"/>
      <c r="XFD73" s="42"/>
    </row>
    <row r="74" s="1" customFormat="1" ht="14.1" customHeight="1" spans="1:21 16376:16384">
      <c r="A74" s="47" t="s">
        <v>226</v>
      </c>
      <c r="B74" s="51">
        <v>46248</v>
      </c>
      <c r="C74" s="42" t="s">
        <v>227</v>
      </c>
      <c r="D74" s="42">
        <v>46248</v>
      </c>
      <c r="E74" s="52" t="s">
        <v>44</v>
      </c>
      <c r="F74" s="47" t="s">
        <v>115</v>
      </c>
      <c r="G74" s="47" t="s">
        <v>28</v>
      </c>
      <c r="H74" s="53">
        <v>1200012956</v>
      </c>
      <c r="I74" s="53" t="s">
        <v>228</v>
      </c>
      <c r="J74" s="47">
        <v>60000</v>
      </c>
      <c r="K74" s="47">
        <v>1.32</v>
      </c>
      <c r="L74" s="47">
        <v>60000</v>
      </c>
      <c r="M74" s="47">
        <v>79200</v>
      </c>
      <c r="N74" s="42" t="s">
        <v>136</v>
      </c>
      <c r="O74" s="42">
        <v>46253</v>
      </c>
      <c r="P74" s="42">
        <v>46253</v>
      </c>
      <c r="Q74" s="42"/>
      <c r="R74" s="42"/>
      <c r="S74" s="42"/>
      <c r="T74" s="33">
        <f ca="1">TODAY()-U74</f>
        <v>2</v>
      </c>
      <c r="U74" s="66">
        <v>46259</v>
      </c>
      <c r="XEV74" s="61"/>
      <c r="XEW74" s="62"/>
      <c r="XEX74" s="63"/>
      <c r="XEY74" s="63"/>
      <c r="XEZ74" s="64"/>
      <c r="XFA74" s="47"/>
      <c r="XFB74" s="51"/>
      <c r="XFC74" s="42"/>
      <c r="XFD74" s="42"/>
    </row>
    <row r="75" s="1" customFormat="1" ht="14.1" customHeight="1" spans="1:21 16376:16384">
      <c r="A75" s="47" t="s">
        <v>229</v>
      </c>
      <c r="B75" s="51">
        <v>46248</v>
      </c>
      <c r="C75" s="42">
        <v>5800285868</v>
      </c>
      <c r="D75" s="42">
        <v>46246</v>
      </c>
      <c r="E75" s="52" t="s">
        <v>230</v>
      </c>
      <c r="F75" s="30" t="s">
        <v>231</v>
      </c>
      <c r="G75" s="47" t="s">
        <v>28</v>
      </c>
      <c r="H75" s="53">
        <v>5062746</v>
      </c>
      <c r="I75" s="53" t="s">
        <v>232</v>
      </c>
      <c r="J75" s="47">
        <v>12000</v>
      </c>
      <c r="K75" s="47">
        <v>1.78</v>
      </c>
      <c r="L75" s="47">
        <v>12000</v>
      </c>
      <c r="M75" s="47">
        <v>21360</v>
      </c>
      <c r="N75" s="42" t="s">
        <v>77</v>
      </c>
      <c r="O75" s="42">
        <v>46252</v>
      </c>
      <c r="P75" s="42">
        <v>46253</v>
      </c>
      <c r="Q75" s="42"/>
      <c r="R75" s="42"/>
      <c r="S75" s="42"/>
      <c r="T75" s="33">
        <f ca="1" t="shared" ref="T75:T83" si="8">TODAY()-B75</f>
        <v>13</v>
      </c>
      <c r="XEV75" s="61"/>
      <c r="XEW75" s="62"/>
      <c r="XEX75" s="63"/>
      <c r="XEY75" s="63"/>
      <c r="XEZ75" s="64"/>
      <c r="XFA75" s="47"/>
      <c r="XFB75" s="51"/>
      <c r="XFC75" s="42"/>
      <c r="XFD75" s="42"/>
    </row>
    <row r="76" s="1" customFormat="1" ht="14.1" customHeight="1" spans="1:21 16376:16384">
      <c r="A76" s="47" t="s">
        <v>233</v>
      </c>
      <c r="B76" s="51">
        <v>46248</v>
      </c>
      <c r="C76" s="42">
        <v>5800285868</v>
      </c>
      <c r="D76" s="42">
        <v>46246</v>
      </c>
      <c r="E76" s="52" t="s">
        <v>230</v>
      </c>
      <c r="F76" s="30" t="s">
        <v>231</v>
      </c>
      <c r="G76" s="47" t="s">
        <v>28</v>
      </c>
      <c r="H76" s="53">
        <v>5063470</v>
      </c>
      <c r="I76" s="53" t="s">
        <v>234</v>
      </c>
      <c r="J76" s="47">
        <v>35000</v>
      </c>
      <c r="K76" s="47">
        <v>1.69</v>
      </c>
      <c r="L76" s="47">
        <v>35000</v>
      </c>
      <c r="M76" s="47">
        <v>59150</v>
      </c>
      <c r="N76" s="42" t="s">
        <v>77</v>
      </c>
      <c r="O76" s="42">
        <v>46252</v>
      </c>
      <c r="P76" s="42">
        <v>46253</v>
      </c>
      <c r="Q76" s="42"/>
      <c r="R76" s="42"/>
      <c r="S76" s="42"/>
      <c r="T76" s="33">
        <f ca="1" t="shared" si="8"/>
        <v>13</v>
      </c>
      <c r="XEV76" s="61"/>
      <c r="XEW76" s="62"/>
      <c r="XEX76" s="63"/>
      <c r="XEY76" s="63"/>
      <c r="XEZ76" s="64"/>
      <c r="XFA76" s="47"/>
      <c r="XFB76" s="51"/>
      <c r="XFC76" s="42"/>
      <c r="XFD76" s="42"/>
    </row>
    <row r="77" s="1" customFormat="1" ht="14.1" customHeight="1" spans="1:21 16376:16384">
      <c r="A77" s="47" t="s">
        <v>235</v>
      </c>
      <c r="B77" s="51">
        <v>46248</v>
      </c>
      <c r="C77" s="42" t="s">
        <v>236</v>
      </c>
      <c r="D77" s="42">
        <v>46248</v>
      </c>
      <c r="E77" s="52" t="s">
        <v>204</v>
      </c>
      <c r="F77" s="58" t="s">
        <v>237</v>
      </c>
      <c r="G77" s="47" t="s">
        <v>36</v>
      </c>
      <c r="H77" s="53" t="s">
        <v>238</v>
      </c>
      <c r="I77" s="53" t="s">
        <v>239</v>
      </c>
      <c r="J77" s="47">
        <v>55000</v>
      </c>
      <c r="K77" s="47">
        <v>2.1</v>
      </c>
      <c r="L77" s="47">
        <v>55000</v>
      </c>
      <c r="M77" s="47">
        <v>115500</v>
      </c>
      <c r="N77" s="42" t="s">
        <v>31</v>
      </c>
      <c r="O77" s="42">
        <v>46252</v>
      </c>
      <c r="P77" s="42">
        <v>46253</v>
      </c>
      <c r="Q77" s="42">
        <v>46255</v>
      </c>
      <c r="R77" s="42">
        <v>46259</v>
      </c>
      <c r="S77" s="48">
        <v>46260</v>
      </c>
      <c r="T77" s="33">
        <f ca="1" t="shared" si="8"/>
        <v>13</v>
      </c>
      <c r="XEV77" s="61"/>
      <c r="XEW77" s="62"/>
      <c r="XEX77" s="63"/>
      <c r="XEY77" s="63"/>
      <c r="XEZ77" s="64"/>
      <c r="XFA77" s="47"/>
      <c r="XFB77" s="51"/>
      <c r="XFC77" s="42"/>
      <c r="XFD77" s="42"/>
    </row>
    <row r="78" s="1" customFormat="1" ht="14.1" customHeight="1" spans="1:21 16376:16384">
      <c r="A78" s="47" t="s">
        <v>240</v>
      </c>
      <c r="B78" s="51">
        <v>46248</v>
      </c>
      <c r="C78" s="42" t="s">
        <v>241</v>
      </c>
      <c r="D78" s="42">
        <v>46248</v>
      </c>
      <c r="E78" s="52" t="s">
        <v>204</v>
      </c>
      <c r="F78" s="58" t="s">
        <v>237</v>
      </c>
      <c r="G78" s="47" t="s">
        <v>36</v>
      </c>
      <c r="H78" s="53" t="s">
        <v>242</v>
      </c>
      <c r="I78" s="53" t="s">
        <v>243</v>
      </c>
      <c r="J78" s="47">
        <v>43000</v>
      </c>
      <c r="K78" s="47">
        <v>2.3</v>
      </c>
      <c r="L78" s="47">
        <v>43000</v>
      </c>
      <c r="M78" s="47">
        <v>98900</v>
      </c>
      <c r="N78" s="42" t="s">
        <v>88</v>
      </c>
      <c r="O78" s="42">
        <v>46252</v>
      </c>
      <c r="P78" s="42">
        <v>46253</v>
      </c>
      <c r="Q78" s="42">
        <v>46256</v>
      </c>
      <c r="R78" s="42"/>
      <c r="S78" s="48">
        <v>46260</v>
      </c>
      <c r="T78" s="33">
        <f ca="1" t="shared" si="8"/>
        <v>13</v>
      </c>
      <c r="XEV78" s="61"/>
      <c r="XEW78" s="62"/>
      <c r="XEX78" s="63"/>
      <c r="XEY78" s="63"/>
      <c r="XEZ78" s="64"/>
      <c r="XFA78" s="47"/>
      <c r="XFB78" s="51"/>
      <c r="XFC78" s="42"/>
      <c r="XFD78" s="42"/>
    </row>
    <row r="79" s="1" customFormat="1" ht="14.1" customHeight="1" spans="1:21 16376:16384">
      <c r="A79" s="47" t="s">
        <v>244</v>
      </c>
      <c r="B79" s="51">
        <v>46248</v>
      </c>
      <c r="C79" s="42" t="s">
        <v>245</v>
      </c>
      <c r="D79" s="42">
        <v>46248</v>
      </c>
      <c r="E79" s="52" t="s">
        <v>204</v>
      </c>
      <c r="F79" s="58" t="s">
        <v>237</v>
      </c>
      <c r="G79" s="47" t="s">
        <v>36</v>
      </c>
      <c r="H79" s="53" t="s">
        <v>246</v>
      </c>
      <c r="I79" s="53" t="s">
        <v>247</v>
      </c>
      <c r="J79" s="47">
        <v>65000</v>
      </c>
      <c r="K79" s="47">
        <v>2.5</v>
      </c>
      <c r="L79" s="47">
        <v>65000</v>
      </c>
      <c r="M79" s="47">
        <v>162500</v>
      </c>
      <c r="N79" s="42" t="s">
        <v>88</v>
      </c>
      <c r="O79" s="42">
        <v>46252</v>
      </c>
      <c r="P79" s="42">
        <v>46253</v>
      </c>
      <c r="Q79" s="42">
        <v>46255</v>
      </c>
      <c r="R79" s="42"/>
      <c r="S79" s="48">
        <v>46260</v>
      </c>
      <c r="T79" s="33">
        <f ca="1" t="shared" si="8"/>
        <v>13</v>
      </c>
      <c r="XEV79" s="61"/>
      <c r="XEW79" s="62"/>
      <c r="XEX79" s="63"/>
      <c r="XEY79" s="63"/>
      <c r="XEZ79" s="64"/>
      <c r="XFA79" s="47"/>
      <c r="XFB79" s="51"/>
      <c r="XFC79" s="42"/>
      <c r="XFD79" s="42"/>
    </row>
    <row r="80" s="1" customFormat="1" ht="14.1" customHeight="1" spans="1:21 16376:16384">
      <c r="A80" s="47" t="s">
        <v>248</v>
      </c>
      <c r="B80" s="51">
        <v>46252</v>
      </c>
      <c r="C80" s="42">
        <v>8110001614</v>
      </c>
      <c r="D80" s="42">
        <v>46252</v>
      </c>
      <c r="E80" s="52" t="s">
        <v>249</v>
      </c>
      <c r="F80" s="58" t="s">
        <v>250</v>
      </c>
      <c r="G80" s="47" t="s">
        <v>28</v>
      </c>
      <c r="H80" s="53">
        <v>1054229</v>
      </c>
      <c r="I80" s="53" t="s">
        <v>251</v>
      </c>
      <c r="J80" s="47">
        <v>32000</v>
      </c>
      <c r="K80" s="47">
        <v>3.54</v>
      </c>
      <c r="L80" s="47">
        <v>32000</v>
      </c>
      <c r="M80" s="47">
        <v>113280</v>
      </c>
      <c r="N80" s="42" t="s">
        <v>77</v>
      </c>
      <c r="O80" s="42">
        <v>46254</v>
      </c>
      <c r="P80" s="42">
        <v>46255</v>
      </c>
      <c r="Q80" s="42"/>
      <c r="R80" s="42"/>
      <c r="S80" s="42"/>
      <c r="T80" s="33">
        <f ca="1" t="shared" si="8"/>
        <v>9</v>
      </c>
      <c r="XEV80" s="61"/>
      <c r="XEW80" s="62"/>
      <c r="XEX80" s="63"/>
      <c r="XEY80" s="63"/>
      <c r="XEZ80" s="64"/>
      <c r="XFA80" s="47"/>
      <c r="XFB80" s="51"/>
      <c r="XFC80" s="42"/>
      <c r="XFD80" s="42"/>
    </row>
    <row r="81" s="1" customFormat="1" ht="14.1" customHeight="1" spans="1:21 16376:16384">
      <c r="A81" s="47" t="s">
        <v>252</v>
      </c>
      <c r="B81" s="51">
        <v>46252</v>
      </c>
      <c r="C81" s="42">
        <v>8110001614</v>
      </c>
      <c r="D81" s="42">
        <v>46252</v>
      </c>
      <c r="E81" s="52" t="s">
        <v>249</v>
      </c>
      <c r="F81" s="58" t="s">
        <v>250</v>
      </c>
      <c r="G81" s="47" t="s">
        <v>28</v>
      </c>
      <c r="H81" s="53">
        <v>1053035</v>
      </c>
      <c r="I81" s="53" t="s">
        <v>253</v>
      </c>
      <c r="J81" s="47">
        <v>135000</v>
      </c>
      <c r="K81" s="47">
        <v>1.35</v>
      </c>
      <c r="L81" s="47">
        <v>135000</v>
      </c>
      <c r="M81" s="47">
        <v>182250</v>
      </c>
      <c r="N81" s="42" t="s">
        <v>254</v>
      </c>
      <c r="O81" s="42">
        <v>46254</v>
      </c>
      <c r="P81" s="42"/>
      <c r="Q81" s="42"/>
      <c r="R81" s="42"/>
      <c r="S81" s="42"/>
      <c r="T81" s="33">
        <f ca="1" t="shared" si="8"/>
        <v>9</v>
      </c>
      <c r="XEV81" s="61"/>
      <c r="XEW81" s="62"/>
      <c r="XEX81" s="63"/>
      <c r="XEY81" s="63"/>
      <c r="XEZ81" s="64"/>
      <c r="XFA81" s="47"/>
      <c r="XFB81" s="51"/>
      <c r="XFC81" s="42"/>
      <c r="XFD81" s="42"/>
    </row>
    <row r="82" s="1" customFormat="1" ht="14.1" customHeight="1" spans="1:21 16376:16384">
      <c r="A82" s="47" t="s">
        <v>255</v>
      </c>
      <c r="B82" s="51">
        <v>46252</v>
      </c>
      <c r="C82" s="42">
        <v>8110001613</v>
      </c>
      <c r="D82" s="42" t="s">
        <v>256</v>
      </c>
      <c r="E82" s="52" t="s">
        <v>39</v>
      </c>
      <c r="F82" s="58" t="s">
        <v>45</v>
      </c>
      <c r="G82" s="47" t="s">
        <v>28</v>
      </c>
      <c r="H82" s="53">
        <v>1054883</v>
      </c>
      <c r="I82" s="53" t="s">
        <v>257</v>
      </c>
      <c r="J82" s="47">
        <v>230000</v>
      </c>
      <c r="K82" s="47">
        <v>1.75</v>
      </c>
      <c r="L82" s="47">
        <v>230000</v>
      </c>
      <c r="M82" s="47">
        <v>402500</v>
      </c>
      <c r="N82" s="42" t="s">
        <v>254</v>
      </c>
      <c r="O82" s="42">
        <v>46254</v>
      </c>
      <c r="P82" s="42">
        <v>46255</v>
      </c>
      <c r="Q82" s="42"/>
      <c r="R82" s="42"/>
      <c r="S82" s="42"/>
      <c r="T82" s="33">
        <f ca="1" t="shared" si="8"/>
        <v>9</v>
      </c>
      <c r="XEV82" s="61"/>
      <c r="XEW82" s="62"/>
      <c r="XEX82" s="63"/>
      <c r="XEY82" s="63"/>
      <c r="XEZ82" s="64"/>
      <c r="XFA82" s="47"/>
      <c r="XFB82" s="51"/>
      <c r="XFC82" s="42"/>
      <c r="XFD82" s="42"/>
    </row>
    <row r="83" s="1" customFormat="1" ht="14.1" customHeight="1" spans="1:21 16376:16384">
      <c r="A83" s="47" t="s">
        <v>258</v>
      </c>
      <c r="B83" s="51">
        <v>46252</v>
      </c>
      <c r="C83" s="42">
        <v>8110001613</v>
      </c>
      <c r="D83" s="42">
        <v>46252</v>
      </c>
      <c r="E83" s="52" t="s">
        <v>39</v>
      </c>
      <c r="F83" s="58" t="s">
        <v>45</v>
      </c>
      <c r="G83" s="47" t="s">
        <v>28</v>
      </c>
      <c r="H83" s="53">
        <v>1054886</v>
      </c>
      <c r="I83" s="53" t="s">
        <v>259</v>
      </c>
      <c r="J83" s="47">
        <v>72000</v>
      </c>
      <c r="K83" s="47">
        <v>1.45</v>
      </c>
      <c r="L83" s="47">
        <v>72000</v>
      </c>
      <c r="M83" s="47">
        <v>104400</v>
      </c>
      <c r="N83" s="42" t="s">
        <v>254</v>
      </c>
      <c r="O83" s="42">
        <v>46254</v>
      </c>
      <c r="P83" s="42"/>
      <c r="Q83" s="42"/>
      <c r="R83" s="42"/>
      <c r="S83" s="42"/>
      <c r="T83" s="33">
        <f ca="1" t="shared" si="8"/>
        <v>9</v>
      </c>
      <c r="XEV83" s="61"/>
      <c r="XEW83" s="62"/>
      <c r="XEX83" s="63"/>
      <c r="XEY83" s="63"/>
      <c r="XEZ83" s="64"/>
      <c r="XFA83" s="47"/>
      <c r="XFB83" s="51"/>
      <c r="XFC83" s="42"/>
      <c r="XFD83" s="42"/>
    </row>
    <row r="84" s="1" customFormat="1" ht="14.1" customHeight="1" spans="1:21 16376:16384">
      <c r="A84" s="47" t="s">
        <v>260</v>
      </c>
      <c r="B84" s="51">
        <v>46252</v>
      </c>
      <c r="C84" s="42">
        <v>9500227628</v>
      </c>
      <c r="D84" s="42">
        <v>46247</v>
      </c>
      <c r="E84" s="52" t="s">
        <v>198</v>
      </c>
      <c r="F84" s="30" t="s">
        <v>199</v>
      </c>
      <c r="G84" s="47" t="s">
        <v>28</v>
      </c>
      <c r="H84" s="53">
        <v>2098172</v>
      </c>
      <c r="I84" s="53" t="s">
        <v>261</v>
      </c>
      <c r="J84" s="47">
        <v>3000</v>
      </c>
      <c r="K84" s="47">
        <v>7.5</v>
      </c>
      <c r="L84" s="47">
        <v>3000</v>
      </c>
      <c r="M84" s="47">
        <v>22500</v>
      </c>
      <c r="N84" s="42" t="s">
        <v>170</v>
      </c>
      <c r="O84" s="42"/>
      <c r="P84" s="42"/>
      <c r="Q84" s="42"/>
      <c r="R84" s="42"/>
      <c r="S84" s="42"/>
      <c r="T84" s="33">
        <f ca="1" t="shared" ref="T84:T89" si="9">TODAY()-U84</f>
        <v>3</v>
      </c>
      <c r="U84" s="66">
        <v>46258</v>
      </c>
      <c r="XEV84" s="61"/>
      <c r="XEW84" s="62"/>
      <c r="XEX84" s="63"/>
      <c r="XEY84" s="63"/>
      <c r="XEZ84" s="64"/>
      <c r="XFA84" s="47"/>
      <c r="XFB84" s="51"/>
      <c r="XFC84" s="42"/>
      <c r="XFD84" s="42"/>
    </row>
    <row r="85" s="1" customFormat="1" ht="14.1" customHeight="1" spans="1:21 16376:16384">
      <c r="A85" s="47" t="s">
        <v>262</v>
      </c>
      <c r="B85" s="51">
        <v>46252</v>
      </c>
      <c r="C85" s="42">
        <v>9500227628</v>
      </c>
      <c r="D85" s="42">
        <v>46247</v>
      </c>
      <c r="E85" s="52" t="s">
        <v>198</v>
      </c>
      <c r="F85" s="30" t="s">
        <v>199</v>
      </c>
      <c r="G85" s="47" t="s">
        <v>28</v>
      </c>
      <c r="H85" s="53">
        <v>2109877</v>
      </c>
      <c r="I85" s="53" t="s">
        <v>263</v>
      </c>
      <c r="J85" s="47">
        <v>10000</v>
      </c>
      <c r="K85" s="47">
        <v>3.75</v>
      </c>
      <c r="L85" s="47">
        <v>10000</v>
      </c>
      <c r="M85" s="47">
        <v>37500</v>
      </c>
      <c r="N85" s="42" t="s">
        <v>42</v>
      </c>
      <c r="O85" s="42"/>
      <c r="P85" s="42"/>
      <c r="Q85" s="42"/>
      <c r="R85" s="42"/>
      <c r="S85" s="42"/>
      <c r="T85" s="33">
        <f ca="1" t="shared" ref="T85:T87" si="10">TODAY()-B85</f>
        <v>9</v>
      </c>
      <c r="XEV85" s="61"/>
      <c r="XEW85" s="62"/>
      <c r="XEX85" s="63"/>
      <c r="XEY85" s="63"/>
      <c r="XEZ85" s="64"/>
      <c r="XFA85" s="47"/>
      <c r="XFB85" s="51"/>
      <c r="XFC85" s="42"/>
      <c r="XFD85" s="42"/>
    </row>
    <row r="86" s="1" customFormat="1" ht="14.1" customHeight="1" spans="1:21 16376:16384">
      <c r="A86" s="47" t="s">
        <v>264</v>
      </c>
      <c r="B86" s="51">
        <v>46252</v>
      </c>
      <c r="C86" s="42">
        <v>9500227628</v>
      </c>
      <c r="D86" s="42">
        <v>46247</v>
      </c>
      <c r="E86" s="52" t="s">
        <v>198</v>
      </c>
      <c r="F86" s="30" t="s">
        <v>199</v>
      </c>
      <c r="G86" s="47" t="s">
        <v>28</v>
      </c>
      <c r="H86" s="53">
        <v>2111033</v>
      </c>
      <c r="I86" s="53" t="s">
        <v>265</v>
      </c>
      <c r="J86" s="47">
        <v>15000</v>
      </c>
      <c r="K86" s="47">
        <v>2.1</v>
      </c>
      <c r="L86" s="47">
        <v>15000</v>
      </c>
      <c r="M86" s="47">
        <v>31500</v>
      </c>
      <c r="N86" s="42" t="s">
        <v>42</v>
      </c>
      <c r="O86" s="42"/>
      <c r="P86" s="42"/>
      <c r="Q86" s="42"/>
      <c r="R86" s="42"/>
      <c r="S86" s="42"/>
      <c r="T86" s="33">
        <f ca="1" t="shared" si="10"/>
        <v>9</v>
      </c>
      <c r="XEV86" s="61"/>
      <c r="XEW86" s="62"/>
      <c r="XEX86" s="63"/>
      <c r="XEY86" s="63"/>
      <c r="XEZ86" s="64"/>
      <c r="XFA86" s="47"/>
      <c r="XFB86" s="51"/>
      <c r="XFC86" s="42"/>
      <c r="XFD86" s="42"/>
    </row>
    <row r="87" s="1" customFormat="1" ht="14.1" customHeight="1" spans="1:21 16376:16384">
      <c r="A87" s="47" t="s">
        <v>266</v>
      </c>
      <c r="B87" s="51">
        <v>46252</v>
      </c>
      <c r="C87" s="42">
        <v>9500227628</v>
      </c>
      <c r="D87" s="42">
        <v>46247</v>
      </c>
      <c r="E87" s="52" t="s">
        <v>198</v>
      </c>
      <c r="F87" s="30" t="s">
        <v>199</v>
      </c>
      <c r="G87" s="47" t="s">
        <v>28</v>
      </c>
      <c r="H87" s="53">
        <v>2112114</v>
      </c>
      <c r="I87" s="53" t="s">
        <v>267</v>
      </c>
      <c r="J87" s="47">
        <v>4000</v>
      </c>
      <c r="K87" s="47">
        <v>6.4</v>
      </c>
      <c r="L87" s="47">
        <v>4000</v>
      </c>
      <c r="M87" s="47">
        <v>25600</v>
      </c>
      <c r="N87" s="42" t="s">
        <v>42</v>
      </c>
      <c r="O87" s="42"/>
      <c r="P87" s="42"/>
      <c r="Q87" s="42"/>
      <c r="R87" s="42"/>
      <c r="S87" s="42"/>
      <c r="T87" s="33">
        <f ca="1" t="shared" si="10"/>
        <v>9</v>
      </c>
      <c r="XEV87" s="61"/>
      <c r="XEW87" s="62"/>
      <c r="XEX87" s="63"/>
      <c r="XEY87" s="63"/>
      <c r="XEZ87" s="64"/>
      <c r="XFA87" s="47"/>
      <c r="XFB87" s="51"/>
      <c r="XFC87" s="42"/>
      <c r="XFD87" s="42"/>
    </row>
    <row r="88" s="1" customFormat="1" ht="14.1" customHeight="1" spans="1:21 16376:16384">
      <c r="A88" s="47" t="s">
        <v>268</v>
      </c>
      <c r="B88" s="51">
        <v>46252</v>
      </c>
      <c r="C88" s="42">
        <v>9500227628</v>
      </c>
      <c r="D88" s="42">
        <v>46247</v>
      </c>
      <c r="E88" s="52" t="s">
        <v>198</v>
      </c>
      <c r="F88" s="30" t="s">
        <v>199</v>
      </c>
      <c r="G88" s="47" t="s">
        <v>28</v>
      </c>
      <c r="H88" s="53">
        <v>2112158</v>
      </c>
      <c r="I88" s="53" t="s">
        <v>269</v>
      </c>
      <c r="J88" s="47">
        <v>4000</v>
      </c>
      <c r="K88" s="47">
        <v>11</v>
      </c>
      <c r="L88" s="47">
        <v>4000</v>
      </c>
      <c r="M88" s="47">
        <v>44000</v>
      </c>
      <c r="N88" s="42" t="s">
        <v>170</v>
      </c>
      <c r="O88" s="42"/>
      <c r="P88" s="42"/>
      <c r="Q88" s="42"/>
      <c r="R88" s="42"/>
      <c r="S88" s="42"/>
      <c r="T88" s="33">
        <f ca="1" t="shared" si="9"/>
        <v>3</v>
      </c>
      <c r="U88" s="66">
        <v>46258</v>
      </c>
      <c r="XEV88" s="61"/>
      <c r="XEW88" s="62"/>
      <c r="XEX88" s="63"/>
      <c r="XEY88" s="63"/>
      <c r="XEZ88" s="64"/>
      <c r="XFA88" s="47"/>
      <c r="XFB88" s="51"/>
      <c r="XFC88" s="42"/>
      <c r="XFD88" s="42"/>
    </row>
    <row r="89" s="1" customFormat="1" ht="14.1" customHeight="1" spans="1:21 16376:16384">
      <c r="A89" s="47" t="s">
        <v>270</v>
      </c>
      <c r="B89" s="51">
        <v>46252</v>
      </c>
      <c r="C89" s="42">
        <v>9500227628</v>
      </c>
      <c r="D89" s="42">
        <v>46247</v>
      </c>
      <c r="E89" s="52" t="s">
        <v>198</v>
      </c>
      <c r="F89" s="30" t="s">
        <v>199</v>
      </c>
      <c r="G89" s="47" t="s">
        <v>28</v>
      </c>
      <c r="H89" s="53">
        <v>2112159</v>
      </c>
      <c r="I89" s="53" t="s">
        <v>271</v>
      </c>
      <c r="J89" s="47">
        <v>3000</v>
      </c>
      <c r="K89" s="47">
        <v>13.95</v>
      </c>
      <c r="L89" s="47">
        <v>3000</v>
      </c>
      <c r="M89" s="47">
        <v>41850</v>
      </c>
      <c r="N89" s="42" t="s">
        <v>170</v>
      </c>
      <c r="O89" s="42"/>
      <c r="P89" s="42"/>
      <c r="Q89" s="42"/>
      <c r="R89" s="42"/>
      <c r="S89" s="42"/>
      <c r="T89" s="33">
        <f ca="1" t="shared" si="9"/>
        <v>3</v>
      </c>
      <c r="U89" s="66">
        <v>46258</v>
      </c>
      <c r="XEV89" s="61"/>
      <c r="XEW89" s="62"/>
      <c r="XEX89" s="63"/>
      <c r="XEY89" s="63"/>
      <c r="XEZ89" s="64"/>
      <c r="XFA89" s="47"/>
      <c r="XFB89" s="51"/>
      <c r="XFC89" s="42"/>
      <c r="XFD89" s="42"/>
    </row>
    <row r="90" s="1" customFormat="1" ht="14.1" customHeight="1" spans="1:21 16376:16384">
      <c r="A90" s="47" t="s">
        <v>272</v>
      </c>
      <c r="B90" s="51">
        <v>46252</v>
      </c>
      <c r="C90" s="42">
        <v>9500227628</v>
      </c>
      <c r="D90" s="42">
        <v>46247</v>
      </c>
      <c r="E90" s="52" t="s">
        <v>198</v>
      </c>
      <c r="F90" s="30" t="s">
        <v>199</v>
      </c>
      <c r="G90" s="47" t="s">
        <v>28</v>
      </c>
      <c r="H90" s="53">
        <v>2112453</v>
      </c>
      <c r="I90" s="53" t="s">
        <v>273</v>
      </c>
      <c r="J90" s="47">
        <v>3000</v>
      </c>
      <c r="K90" s="47">
        <v>14.5</v>
      </c>
      <c r="L90" s="47">
        <v>3000</v>
      </c>
      <c r="M90" s="47">
        <v>43500</v>
      </c>
      <c r="N90" s="42" t="s">
        <v>42</v>
      </c>
      <c r="O90" s="42"/>
      <c r="P90" s="42"/>
      <c r="Q90" s="42"/>
      <c r="R90" s="42"/>
      <c r="S90" s="42"/>
      <c r="T90" s="33">
        <f ca="1" t="shared" ref="T90:T116" si="11">TODAY()-B90</f>
        <v>9</v>
      </c>
      <c r="XEV90" s="61"/>
      <c r="XEW90" s="62"/>
      <c r="XEX90" s="63"/>
      <c r="XEY90" s="63"/>
      <c r="XEZ90" s="64"/>
      <c r="XFA90" s="47"/>
      <c r="XFB90" s="51"/>
      <c r="XFC90" s="42"/>
      <c r="XFD90" s="42"/>
    </row>
    <row r="91" s="1" customFormat="1" ht="14.1" customHeight="1" spans="1:21 16376:16384">
      <c r="A91" s="47" t="s">
        <v>274</v>
      </c>
      <c r="B91" s="51">
        <v>46252</v>
      </c>
      <c r="C91" s="42">
        <v>9500227836</v>
      </c>
      <c r="D91" s="42">
        <v>46248</v>
      </c>
      <c r="E91" s="52" t="s">
        <v>53</v>
      </c>
      <c r="F91" s="30" t="s">
        <v>54</v>
      </c>
      <c r="G91" s="47" t="s">
        <v>28</v>
      </c>
      <c r="H91" s="53">
        <v>2104884</v>
      </c>
      <c r="I91" s="53" t="s">
        <v>275</v>
      </c>
      <c r="J91" s="47">
        <v>3500</v>
      </c>
      <c r="K91" s="47">
        <v>8</v>
      </c>
      <c r="L91" s="47">
        <v>3500</v>
      </c>
      <c r="M91" s="47">
        <v>28000</v>
      </c>
      <c r="N91" s="42" t="s">
        <v>170</v>
      </c>
      <c r="O91" s="42"/>
      <c r="P91" s="42"/>
      <c r="Q91" s="42"/>
      <c r="R91" s="42"/>
      <c r="S91" s="42"/>
      <c r="T91" s="33">
        <f ca="1">TODAY()-U91</f>
        <v>2</v>
      </c>
      <c r="U91" s="66">
        <v>46259</v>
      </c>
      <c r="XEV91" s="61"/>
      <c r="XEW91" s="62"/>
      <c r="XEX91" s="63"/>
      <c r="XEY91" s="63"/>
      <c r="XEZ91" s="64"/>
      <c r="XFA91" s="47"/>
      <c r="XFB91" s="51"/>
      <c r="XFC91" s="42"/>
      <c r="XFD91" s="42"/>
    </row>
    <row r="92" s="1" customFormat="1" ht="14.1" customHeight="1" spans="1:21 16376:16384">
      <c r="A92" s="47" t="s">
        <v>276</v>
      </c>
      <c r="B92" s="51">
        <v>46252</v>
      </c>
      <c r="C92" s="42">
        <v>9500227836</v>
      </c>
      <c r="D92" s="42">
        <v>46248</v>
      </c>
      <c r="E92" s="52" t="s">
        <v>53</v>
      </c>
      <c r="F92" s="30" t="s">
        <v>54</v>
      </c>
      <c r="G92" s="47" t="s">
        <v>28</v>
      </c>
      <c r="H92" s="53">
        <v>2104885</v>
      </c>
      <c r="I92" s="53" t="s">
        <v>277</v>
      </c>
      <c r="J92" s="47">
        <v>3500</v>
      </c>
      <c r="K92" s="47">
        <v>8</v>
      </c>
      <c r="L92" s="47">
        <v>3500</v>
      </c>
      <c r="M92" s="47">
        <v>28000</v>
      </c>
      <c r="N92" s="42" t="s">
        <v>170</v>
      </c>
      <c r="O92" s="42"/>
      <c r="P92" s="42"/>
      <c r="Q92" s="42"/>
      <c r="R92" s="42"/>
      <c r="S92" s="42"/>
      <c r="T92" s="33">
        <f ca="1">TODAY()-U92</f>
        <v>2</v>
      </c>
      <c r="U92" s="66">
        <v>46259</v>
      </c>
      <c r="XEV92" s="61"/>
      <c r="XEW92" s="62"/>
      <c r="XEX92" s="63"/>
      <c r="XEY92" s="63"/>
      <c r="XEZ92" s="64"/>
      <c r="XFA92" s="47"/>
      <c r="XFB92" s="51"/>
      <c r="XFC92" s="42"/>
      <c r="XFD92" s="42"/>
    </row>
    <row r="93" s="1" customFormat="1" ht="14.1" customHeight="1" spans="1:21 16376:16384">
      <c r="A93" s="47" t="s">
        <v>278</v>
      </c>
      <c r="B93" s="51">
        <v>46252</v>
      </c>
      <c r="C93" s="42">
        <v>9500227740</v>
      </c>
      <c r="D93" s="42">
        <v>46248</v>
      </c>
      <c r="E93" s="52" t="s">
        <v>53</v>
      </c>
      <c r="F93" s="30" t="s">
        <v>54</v>
      </c>
      <c r="G93" s="47" t="s">
        <v>36</v>
      </c>
      <c r="H93" s="53">
        <v>2111051</v>
      </c>
      <c r="I93" s="53" t="s">
        <v>279</v>
      </c>
      <c r="J93" s="47">
        <v>6000</v>
      </c>
      <c r="K93" s="47">
        <v>5.25</v>
      </c>
      <c r="L93" s="47">
        <v>6000</v>
      </c>
      <c r="M93" s="47">
        <v>31500</v>
      </c>
      <c r="N93" s="42" t="s">
        <v>18</v>
      </c>
      <c r="O93" s="42">
        <v>46255</v>
      </c>
      <c r="P93" s="42">
        <v>46256</v>
      </c>
      <c r="Q93" s="42"/>
      <c r="R93" s="42"/>
      <c r="S93" s="48">
        <v>46263</v>
      </c>
      <c r="T93" s="33">
        <f ca="1" t="shared" si="11"/>
        <v>9</v>
      </c>
      <c r="XEV93" s="61"/>
      <c r="XEW93" s="62"/>
      <c r="XEX93" s="63"/>
      <c r="XEY93" s="63"/>
      <c r="XEZ93" s="64"/>
      <c r="XFA93" s="47"/>
      <c r="XFB93" s="51"/>
      <c r="XFC93" s="42"/>
      <c r="XFD93" s="42"/>
    </row>
    <row r="94" s="1" customFormat="1" ht="14.1" customHeight="1" spans="1:21 16376:16384">
      <c r="A94" s="47" t="s">
        <v>280</v>
      </c>
      <c r="B94" s="51">
        <v>46252</v>
      </c>
      <c r="C94" s="42">
        <v>2142606374</v>
      </c>
      <c r="D94" s="42">
        <v>46251</v>
      </c>
      <c r="E94" s="52" t="s">
        <v>281</v>
      </c>
      <c r="F94" s="30" t="s">
        <v>282</v>
      </c>
      <c r="G94" s="47" t="s">
        <v>36</v>
      </c>
      <c r="H94" s="53" t="s">
        <v>283</v>
      </c>
      <c r="I94" s="53" t="s">
        <v>284</v>
      </c>
      <c r="J94" s="47">
        <v>3090</v>
      </c>
      <c r="K94" s="47">
        <v>8.5</v>
      </c>
      <c r="L94" s="47">
        <v>3090</v>
      </c>
      <c r="M94" s="47">
        <v>26265</v>
      </c>
      <c r="N94" s="42" t="s">
        <v>18</v>
      </c>
      <c r="O94" s="42">
        <v>46255</v>
      </c>
      <c r="P94" s="42">
        <v>46256</v>
      </c>
      <c r="Q94" s="42"/>
      <c r="R94" s="42"/>
      <c r="S94" s="42"/>
      <c r="T94" s="33">
        <f ca="1" t="shared" si="11"/>
        <v>9</v>
      </c>
      <c r="XEV94" s="61"/>
      <c r="XEW94" s="62"/>
      <c r="XEX94" s="63"/>
      <c r="XEY94" s="63"/>
      <c r="XEZ94" s="64"/>
      <c r="XFA94" s="47"/>
      <c r="XFB94" s="51"/>
      <c r="XFC94" s="42"/>
      <c r="XFD94" s="42"/>
    </row>
    <row r="95" s="1" customFormat="1" ht="14.1" customHeight="1" spans="1:21 16376:16384">
      <c r="A95" s="47" t="s">
        <v>285</v>
      </c>
      <c r="B95" s="51">
        <v>46254</v>
      </c>
      <c r="C95" s="42">
        <v>9500228176</v>
      </c>
      <c r="D95" s="42">
        <v>46251</v>
      </c>
      <c r="E95" s="52" t="s">
        <v>198</v>
      </c>
      <c r="F95" s="30" t="s">
        <v>199</v>
      </c>
      <c r="G95" s="47" t="s">
        <v>36</v>
      </c>
      <c r="H95" s="53">
        <v>2085274</v>
      </c>
      <c r="I95" s="53" t="s">
        <v>286</v>
      </c>
      <c r="J95" s="47">
        <v>3000</v>
      </c>
      <c r="K95" s="47">
        <v>6.65</v>
      </c>
      <c r="L95" s="47">
        <v>3000</v>
      </c>
      <c r="M95" s="47">
        <v>19950</v>
      </c>
      <c r="N95" s="42" t="s">
        <v>18</v>
      </c>
      <c r="O95" s="42">
        <v>46255</v>
      </c>
      <c r="P95" s="42">
        <v>46256</v>
      </c>
      <c r="Q95" s="42"/>
      <c r="R95" s="42"/>
      <c r="S95" s="42"/>
      <c r="T95" s="33">
        <f ca="1" t="shared" si="11"/>
        <v>7</v>
      </c>
      <c r="XEV95" s="61"/>
      <c r="XEW95" s="62"/>
      <c r="XEX95" s="63"/>
      <c r="XEY95" s="63"/>
      <c r="XEZ95" s="64"/>
      <c r="XFA95" s="47"/>
      <c r="XFB95" s="51"/>
      <c r="XFC95" s="42"/>
      <c r="XFD95" s="42"/>
    </row>
    <row r="96" s="1" customFormat="1" ht="14.1" customHeight="1" spans="1:21 16376:16384">
      <c r="A96" s="47" t="s">
        <v>287</v>
      </c>
      <c r="B96" s="51">
        <v>46254</v>
      </c>
      <c r="C96" s="42" t="s">
        <v>288</v>
      </c>
      <c r="D96" s="42">
        <v>46254</v>
      </c>
      <c r="E96" s="52" t="s">
        <v>289</v>
      </c>
      <c r="F96" s="58" t="s">
        <v>290</v>
      </c>
      <c r="G96" s="47" t="s">
        <v>28</v>
      </c>
      <c r="H96" s="53" t="s">
        <v>291</v>
      </c>
      <c r="I96" s="53" t="s">
        <v>292</v>
      </c>
      <c r="J96" s="47">
        <v>25000</v>
      </c>
      <c r="K96" s="47">
        <v>4.2</v>
      </c>
      <c r="L96" s="47">
        <v>25000</v>
      </c>
      <c r="M96" s="47">
        <v>105000</v>
      </c>
      <c r="N96" s="42" t="s">
        <v>293</v>
      </c>
      <c r="O96" s="42">
        <v>46259</v>
      </c>
      <c r="P96" s="42"/>
      <c r="Q96" s="42"/>
      <c r="R96" s="42"/>
      <c r="S96" s="42"/>
      <c r="T96" s="33">
        <f ca="1" t="shared" si="11"/>
        <v>7</v>
      </c>
      <c r="XEV96" s="61"/>
      <c r="XEW96" s="62"/>
      <c r="XEX96" s="63"/>
      <c r="XEY96" s="63"/>
      <c r="XEZ96" s="64"/>
      <c r="XFA96" s="47"/>
      <c r="XFB96" s="51"/>
      <c r="XFC96" s="42"/>
      <c r="XFD96" s="42"/>
    </row>
    <row r="97" s="1" customFormat="1" ht="14.1" customHeight="1" spans="1:20 16374:16384">
      <c r="A97" s="47" t="s">
        <v>294</v>
      </c>
      <c r="B97" s="51">
        <v>46254</v>
      </c>
      <c r="C97" s="42">
        <v>242612336</v>
      </c>
      <c r="D97" s="42">
        <v>46253</v>
      </c>
      <c r="E97" s="52" t="s">
        <v>295</v>
      </c>
      <c r="F97" s="58" t="s">
        <v>296</v>
      </c>
      <c r="G97" s="47" t="s">
        <v>36</v>
      </c>
      <c r="H97" s="53" t="s">
        <v>297</v>
      </c>
      <c r="I97" s="53" t="s">
        <v>298</v>
      </c>
      <c r="J97" s="47">
        <v>52000</v>
      </c>
      <c r="K97" s="47">
        <v>3.15</v>
      </c>
      <c r="L97" s="47">
        <v>52000</v>
      </c>
      <c r="M97" s="47">
        <v>163800</v>
      </c>
      <c r="N97" s="42" t="s">
        <v>136</v>
      </c>
      <c r="O97" s="42">
        <v>46255</v>
      </c>
      <c r="P97" s="42">
        <v>46256</v>
      </c>
      <c r="Q97" s="42"/>
      <c r="R97" s="42"/>
      <c r="S97" s="42"/>
      <c r="T97" s="33">
        <f ca="1" t="shared" si="11"/>
        <v>7</v>
      </c>
      <c r="XEV97" s="61"/>
      <c r="XEW97" s="62"/>
      <c r="XEX97" s="63"/>
      <c r="XEY97" s="63"/>
      <c r="XEZ97" s="64"/>
      <c r="XFA97" s="47"/>
      <c r="XFB97" s="51"/>
      <c r="XFC97" s="42"/>
      <c r="XFD97" s="42"/>
    </row>
    <row r="98" s="1" customFormat="1" ht="14.1" customHeight="1" spans="1:20 16374:16384">
      <c r="A98" s="47" t="s">
        <v>299</v>
      </c>
      <c r="B98" s="51">
        <v>46254</v>
      </c>
      <c r="C98" s="42">
        <v>242612336</v>
      </c>
      <c r="D98" s="42">
        <v>46253</v>
      </c>
      <c r="E98" s="52" t="s">
        <v>295</v>
      </c>
      <c r="F98" s="30" t="s">
        <v>296</v>
      </c>
      <c r="G98" s="47" t="s">
        <v>36</v>
      </c>
      <c r="H98" s="53" t="s">
        <v>300</v>
      </c>
      <c r="I98" s="53" t="s">
        <v>301</v>
      </c>
      <c r="J98" s="47">
        <v>4783</v>
      </c>
      <c r="K98" s="47">
        <v>8.5</v>
      </c>
      <c r="L98" s="47">
        <v>4783</v>
      </c>
      <c r="M98" s="47">
        <v>40655.5</v>
      </c>
      <c r="N98" s="42" t="s">
        <v>18</v>
      </c>
      <c r="O98" s="42">
        <v>46255</v>
      </c>
      <c r="P98" s="42">
        <v>46256</v>
      </c>
      <c r="Q98" s="42"/>
      <c r="R98" s="42"/>
      <c r="S98" s="42"/>
      <c r="T98" s="33">
        <f ca="1" t="shared" si="11"/>
        <v>7</v>
      </c>
      <c r="XEV98" s="61"/>
      <c r="XEW98" s="62"/>
      <c r="XEX98" s="63"/>
      <c r="XEY98" s="63"/>
      <c r="XEZ98" s="64"/>
      <c r="XFA98" s="47"/>
      <c r="XFB98" s="51"/>
      <c r="XFC98" s="42"/>
      <c r="XFD98" s="42"/>
    </row>
    <row r="99" s="1" customFormat="1" ht="14.1" customHeight="1" spans="1:20 16374:16384">
      <c r="A99" s="47" t="s">
        <v>302</v>
      </c>
      <c r="B99" s="51">
        <v>46254</v>
      </c>
      <c r="C99" s="42">
        <v>242612336</v>
      </c>
      <c r="D99" s="42">
        <v>46253</v>
      </c>
      <c r="E99" s="52" t="s">
        <v>295</v>
      </c>
      <c r="F99" s="58" t="s">
        <v>296</v>
      </c>
      <c r="G99" s="47" t="s">
        <v>36</v>
      </c>
      <c r="H99" s="53" t="s">
        <v>303</v>
      </c>
      <c r="I99" s="53" t="s">
        <v>304</v>
      </c>
      <c r="J99" s="47">
        <v>4813</v>
      </c>
      <c r="K99" s="47">
        <v>8.5</v>
      </c>
      <c r="L99" s="47">
        <v>4813</v>
      </c>
      <c r="M99" s="47">
        <v>40910.5</v>
      </c>
      <c r="N99" s="42" t="s">
        <v>136</v>
      </c>
      <c r="O99" s="42">
        <v>46255</v>
      </c>
      <c r="P99" s="42">
        <v>46256</v>
      </c>
      <c r="Q99" s="42"/>
      <c r="R99" s="42"/>
      <c r="S99" s="42"/>
      <c r="T99" s="33">
        <f ca="1" t="shared" si="11"/>
        <v>7</v>
      </c>
      <c r="XEV99" s="61"/>
      <c r="XEW99" s="62"/>
      <c r="XEX99" s="63"/>
      <c r="XEY99" s="63"/>
      <c r="XEZ99" s="64"/>
      <c r="XFA99" s="47"/>
      <c r="XFB99" s="51"/>
      <c r="XFC99" s="42"/>
      <c r="XFD99" s="42"/>
    </row>
    <row r="100" s="1" customFormat="1" ht="14.1" customHeight="1" spans="1:20 16374:16384">
      <c r="A100" s="47" t="s">
        <v>305</v>
      </c>
      <c r="B100" s="51">
        <v>46254</v>
      </c>
      <c r="C100" s="42">
        <v>111043970</v>
      </c>
      <c r="D100" s="42">
        <v>46253</v>
      </c>
      <c r="E100" s="52" t="s">
        <v>39</v>
      </c>
      <c r="F100" s="30" t="s">
        <v>40</v>
      </c>
      <c r="G100" s="47" t="s">
        <v>36</v>
      </c>
      <c r="H100" s="53">
        <v>113006603</v>
      </c>
      <c r="I100" s="53" t="s">
        <v>306</v>
      </c>
      <c r="J100" s="47">
        <v>206300</v>
      </c>
      <c r="K100" s="47">
        <v>1.15</v>
      </c>
      <c r="L100" s="47">
        <v>206300</v>
      </c>
      <c r="M100" s="47">
        <v>237245</v>
      </c>
      <c r="N100" s="42" t="s">
        <v>42</v>
      </c>
      <c r="O100" s="42">
        <v>46255</v>
      </c>
      <c r="P100" s="42"/>
      <c r="Q100" s="42"/>
      <c r="R100" s="42"/>
      <c r="S100" s="42"/>
      <c r="T100" s="33">
        <f ca="1" t="shared" si="11"/>
        <v>7</v>
      </c>
      <c r="XEV100" s="61"/>
      <c r="XEW100" s="62"/>
      <c r="XEX100" s="63"/>
      <c r="XEY100" s="63"/>
      <c r="XEZ100" s="64"/>
      <c r="XFA100" s="47"/>
      <c r="XFB100" s="51"/>
      <c r="XFC100" s="42"/>
      <c r="XFD100" s="42"/>
    </row>
    <row r="101" s="1" customFormat="1" ht="14.1" customHeight="1" spans="1:20 16374:16384">
      <c r="A101" s="47" t="s">
        <v>307</v>
      </c>
      <c r="B101" s="51">
        <v>46254</v>
      </c>
      <c r="C101" s="42">
        <v>111043970</v>
      </c>
      <c r="D101" s="42">
        <v>46253</v>
      </c>
      <c r="E101" s="52" t="s">
        <v>39</v>
      </c>
      <c r="F101" s="30" t="s">
        <v>40</v>
      </c>
      <c r="G101" s="47" t="s">
        <v>36</v>
      </c>
      <c r="H101" s="53">
        <v>113012354</v>
      </c>
      <c r="I101" s="53" t="s">
        <v>308</v>
      </c>
      <c r="J101" s="47">
        <v>5500</v>
      </c>
      <c r="K101" s="47">
        <v>3.65</v>
      </c>
      <c r="L101" s="47">
        <v>5500</v>
      </c>
      <c r="M101" s="47">
        <v>20075</v>
      </c>
      <c r="N101" s="42" t="s">
        <v>18</v>
      </c>
      <c r="O101" s="42">
        <v>46255</v>
      </c>
      <c r="P101" s="42">
        <v>46256</v>
      </c>
      <c r="Q101" s="42"/>
      <c r="R101" s="42"/>
      <c r="S101" s="42"/>
      <c r="T101" s="33">
        <f ca="1" t="shared" si="11"/>
        <v>7</v>
      </c>
      <c r="XEV101" s="61"/>
      <c r="XEW101" s="62"/>
      <c r="XEX101" s="63"/>
      <c r="XEY101" s="63"/>
      <c r="XEZ101" s="64"/>
      <c r="XFA101" s="47"/>
      <c r="XFB101" s="51"/>
      <c r="XFC101" s="42"/>
      <c r="XFD101" s="42"/>
    </row>
    <row r="102" s="1" customFormat="1" ht="14.1" customHeight="1" spans="1:20 16374:16384">
      <c r="A102" s="47" t="s">
        <v>309</v>
      </c>
      <c r="B102" s="51">
        <v>46254</v>
      </c>
      <c r="C102" s="42">
        <v>111043970</v>
      </c>
      <c r="D102" s="42">
        <v>46253</v>
      </c>
      <c r="E102" s="52" t="s">
        <v>39</v>
      </c>
      <c r="F102" s="30" t="s">
        <v>40</v>
      </c>
      <c r="G102" s="47" t="s">
        <v>36</v>
      </c>
      <c r="H102" s="53">
        <v>113014538</v>
      </c>
      <c r="I102" s="53" t="s">
        <v>310</v>
      </c>
      <c r="J102" s="47">
        <v>5300</v>
      </c>
      <c r="K102" s="47">
        <v>8.3</v>
      </c>
      <c r="L102" s="47">
        <v>5300</v>
      </c>
      <c r="M102" s="47">
        <v>43990</v>
      </c>
      <c r="N102" s="42" t="s">
        <v>42</v>
      </c>
      <c r="O102" s="42">
        <v>46255</v>
      </c>
      <c r="P102" s="42">
        <v>46256</v>
      </c>
      <c r="Q102" s="42"/>
      <c r="R102" s="42"/>
      <c r="S102" s="42"/>
      <c r="T102" s="33">
        <f ca="1" t="shared" si="11"/>
        <v>7</v>
      </c>
      <c r="XEV102" s="61"/>
      <c r="XEW102" s="62"/>
      <c r="XEX102" s="63"/>
      <c r="XEY102" s="63"/>
      <c r="XEZ102" s="64"/>
      <c r="XFA102" s="47"/>
      <c r="XFB102" s="51"/>
      <c r="XFC102" s="42"/>
      <c r="XFD102" s="42"/>
    </row>
    <row r="103" s="1" customFormat="1" ht="14.1" customHeight="1" spans="1:20 16374:16384">
      <c r="A103" s="47" t="s">
        <v>311</v>
      </c>
      <c r="B103" s="51">
        <v>46254</v>
      </c>
      <c r="C103" s="42">
        <v>111043905</v>
      </c>
      <c r="D103" s="42">
        <v>46252</v>
      </c>
      <c r="E103" s="52" t="s">
        <v>39</v>
      </c>
      <c r="F103" s="30" t="s">
        <v>40</v>
      </c>
      <c r="G103" s="47" t="s">
        <v>36</v>
      </c>
      <c r="H103" s="53">
        <v>113011362</v>
      </c>
      <c r="I103" s="53" t="s">
        <v>312</v>
      </c>
      <c r="J103" s="47">
        <v>7000</v>
      </c>
      <c r="K103" s="47">
        <v>1.7</v>
      </c>
      <c r="L103" s="47">
        <v>7000</v>
      </c>
      <c r="M103" s="47">
        <v>11900</v>
      </c>
      <c r="N103" s="42" t="s">
        <v>18</v>
      </c>
      <c r="O103" s="42">
        <v>46255</v>
      </c>
      <c r="P103" s="42">
        <v>46256</v>
      </c>
      <c r="Q103" s="42"/>
      <c r="R103" s="42"/>
      <c r="S103" s="42"/>
      <c r="T103" s="33">
        <f ca="1" t="shared" si="11"/>
        <v>7</v>
      </c>
      <c r="XEV103" s="61"/>
      <c r="XEW103" s="62"/>
      <c r="XEX103" s="63"/>
      <c r="XEY103" s="63"/>
      <c r="XEZ103" s="64"/>
      <c r="XFA103" s="47"/>
      <c r="XFB103" s="51"/>
      <c r="XFC103" s="42"/>
      <c r="XFD103" s="42"/>
    </row>
    <row r="104" s="1" customFormat="1" ht="14.1" customHeight="1" spans="1:20 16374:16384">
      <c r="A104" s="47" t="s">
        <v>313</v>
      </c>
      <c r="B104" s="51">
        <v>46254</v>
      </c>
      <c r="C104" s="42">
        <v>8110001653</v>
      </c>
      <c r="D104" s="42">
        <v>46254</v>
      </c>
      <c r="E104" s="52" t="s">
        <v>39</v>
      </c>
      <c r="F104" s="30" t="s">
        <v>45</v>
      </c>
      <c r="G104" s="47" t="s">
        <v>36</v>
      </c>
      <c r="H104" s="53">
        <v>1051130</v>
      </c>
      <c r="I104" s="53" t="s">
        <v>314</v>
      </c>
      <c r="J104" s="47">
        <v>31000</v>
      </c>
      <c r="K104" s="47">
        <v>4.31</v>
      </c>
      <c r="L104" s="47">
        <v>31000</v>
      </c>
      <c r="M104" s="47">
        <v>133610</v>
      </c>
      <c r="N104" s="42" t="s">
        <v>80</v>
      </c>
      <c r="O104" s="42">
        <v>46255</v>
      </c>
      <c r="P104" s="42"/>
      <c r="Q104" s="42"/>
      <c r="R104" s="42"/>
      <c r="S104" s="42"/>
      <c r="T104" s="33">
        <f ca="1" t="shared" si="11"/>
        <v>7</v>
      </c>
      <c r="XEV104" s="61"/>
      <c r="XEW104" s="62"/>
      <c r="XEX104" s="63"/>
      <c r="XEY104" s="63"/>
      <c r="XEZ104" s="64"/>
      <c r="XFA104" s="47"/>
      <c r="XFB104" s="51"/>
      <c r="XFC104" s="42"/>
      <c r="XFD104" s="42"/>
    </row>
    <row r="105" s="1" customFormat="1" ht="14.1" customHeight="1" spans="1:20 16374:16384">
      <c r="A105" s="47" t="s">
        <v>315</v>
      </c>
      <c r="B105" s="51">
        <v>46255</v>
      </c>
      <c r="C105" s="42">
        <v>4510212564</v>
      </c>
      <c r="D105" s="42">
        <v>46254</v>
      </c>
      <c r="E105" s="52" t="s">
        <v>48</v>
      </c>
      <c r="F105" s="30" t="s">
        <v>49</v>
      </c>
      <c r="G105" s="47" t="s">
        <v>36</v>
      </c>
      <c r="H105" s="53">
        <v>1229366</v>
      </c>
      <c r="I105" s="53" t="s">
        <v>316</v>
      </c>
      <c r="J105" s="47">
        <v>5500</v>
      </c>
      <c r="K105" s="47">
        <v>3.37456</v>
      </c>
      <c r="L105" s="47">
        <v>5500</v>
      </c>
      <c r="M105" s="47">
        <v>18560.08</v>
      </c>
      <c r="N105" s="42" t="s">
        <v>18</v>
      </c>
      <c r="O105" s="42">
        <v>46258</v>
      </c>
      <c r="P105" s="42">
        <v>46259</v>
      </c>
      <c r="Q105" s="42"/>
      <c r="R105" s="3"/>
      <c r="T105" s="33">
        <f ca="1" t="shared" si="11"/>
        <v>6</v>
      </c>
      <c r="XEV105" s="61"/>
      <c r="XEW105" s="62"/>
      <c r="XEX105" s="63"/>
      <c r="XEY105" s="63"/>
      <c r="XEZ105" s="64"/>
      <c r="XFA105" s="47"/>
      <c r="XFB105" s="51"/>
      <c r="XFC105" s="42"/>
      <c r="XFD105" s="42"/>
    </row>
    <row r="106" s="1" customFormat="1" ht="14.1" customHeight="1" spans="1:20 16374:16384">
      <c r="A106" s="47" t="s">
        <v>317</v>
      </c>
      <c r="B106" s="51">
        <v>46255</v>
      </c>
      <c r="C106" s="42">
        <v>9500228184</v>
      </c>
      <c r="D106" s="42">
        <v>46251</v>
      </c>
      <c r="E106" s="52" t="s">
        <v>82</v>
      </c>
      <c r="F106" s="30" t="s">
        <v>83</v>
      </c>
      <c r="G106" s="47" t="s">
        <v>36</v>
      </c>
      <c r="H106" s="53">
        <v>2094162</v>
      </c>
      <c r="I106" s="53" t="s">
        <v>318</v>
      </c>
      <c r="J106" s="47">
        <v>85000</v>
      </c>
      <c r="K106" s="47">
        <v>2.45</v>
      </c>
      <c r="L106" s="47">
        <v>85000</v>
      </c>
      <c r="M106" s="47">
        <v>208250</v>
      </c>
      <c r="N106" s="42" t="s">
        <v>18</v>
      </c>
      <c r="O106" s="42">
        <v>46258</v>
      </c>
      <c r="P106" s="42">
        <v>46259</v>
      </c>
      <c r="Q106" s="42"/>
      <c r="R106" s="3"/>
      <c r="T106" s="33">
        <f ca="1" t="shared" si="11"/>
        <v>6</v>
      </c>
      <c r="XEV106" s="61"/>
      <c r="XEW106" s="62"/>
      <c r="XEX106" s="63"/>
      <c r="XEY106" s="63"/>
      <c r="XEZ106" s="64"/>
      <c r="XFA106" s="47"/>
      <c r="XFB106" s="51"/>
      <c r="XFC106" s="42"/>
      <c r="XFD106" s="42"/>
    </row>
    <row r="107" s="1" customFormat="1" ht="14.1" customHeight="1" spans="1:20 16374:16384">
      <c r="A107" s="47" t="s">
        <v>319</v>
      </c>
      <c r="B107" s="51">
        <v>46255</v>
      </c>
      <c r="C107" s="42">
        <v>9500228184</v>
      </c>
      <c r="D107" s="42">
        <v>46251</v>
      </c>
      <c r="E107" s="52" t="s">
        <v>82</v>
      </c>
      <c r="F107" s="30" t="s">
        <v>83</v>
      </c>
      <c r="G107" s="47" t="s">
        <v>36</v>
      </c>
      <c r="H107" s="53">
        <v>2094165</v>
      </c>
      <c r="I107" s="53" t="s">
        <v>320</v>
      </c>
      <c r="J107" s="47">
        <v>115000</v>
      </c>
      <c r="K107" s="47">
        <v>2.35</v>
      </c>
      <c r="L107" s="47">
        <v>115000</v>
      </c>
      <c r="M107" s="47">
        <v>270250</v>
      </c>
      <c r="N107" s="42" t="s">
        <v>80</v>
      </c>
      <c r="O107" s="42">
        <v>46258</v>
      </c>
      <c r="P107" s="42"/>
      <c r="Q107" s="42"/>
      <c r="R107" s="3"/>
      <c r="T107" s="33">
        <f ca="1" t="shared" si="11"/>
        <v>6</v>
      </c>
      <c r="XEV107" s="61"/>
      <c r="XEW107" s="62"/>
      <c r="XEX107" s="63"/>
      <c r="XEY107" s="63"/>
      <c r="XEZ107" s="64"/>
      <c r="XFA107" s="47"/>
      <c r="XFB107" s="51"/>
      <c r="XFC107" s="42"/>
      <c r="XFD107" s="42"/>
    </row>
    <row r="108" s="1" customFormat="1" ht="14.1" customHeight="1" spans="1:20 16374:16384">
      <c r="A108" s="47" t="s">
        <v>321</v>
      </c>
      <c r="B108" s="51">
        <v>46255</v>
      </c>
      <c r="C108" s="42">
        <v>9500228291</v>
      </c>
      <c r="D108" s="42">
        <v>46252</v>
      </c>
      <c r="E108" s="52" t="s">
        <v>198</v>
      </c>
      <c r="F108" s="30" t="s">
        <v>322</v>
      </c>
      <c r="G108" s="47" t="s">
        <v>36</v>
      </c>
      <c r="H108" s="53">
        <v>2062322</v>
      </c>
      <c r="I108" s="53" t="s">
        <v>323</v>
      </c>
      <c r="J108" s="47">
        <v>2000</v>
      </c>
      <c r="K108" s="47">
        <v>7.3</v>
      </c>
      <c r="L108" s="47">
        <v>2000</v>
      </c>
      <c r="M108" s="47">
        <v>14600</v>
      </c>
      <c r="N108" s="42" t="s">
        <v>18</v>
      </c>
      <c r="O108" s="42">
        <v>46258</v>
      </c>
      <c r="P108" s="42">
        <v>46259</v>
      </c>
      <c r="Q108" s="42"/>
      <c r="R108" s="3"/>
      <c r="T108" s="33">
        <f ca="1" t="shared" si="11"/>
        <v>6</v>
      </c>
      <c r="XEV108" s="61"/>
      <c r="XEW108" s="62"/>
      <c r="XEX108" s="63"/>
      <c r="XEY108" s="63"/>
      <c r="XEZ108" s="64"/>
      <c r="XFA108" s="47"/>
      <c r="XFB108" s="51"/>
      <c r="XFC108" s="42"/>
      <c r="XFD108" s="42"/>
    </row>
    <row r="109" s="1" customFormat="1" ht="14.1" customHeight="1" spans="1:20 16374:16384">
      <c r="A109" s="47" t="s">
        <v>324</v>
      </c>
      <c r="B109" s="51">
        <v>46255</v>
      </c>
      <c r="C109" s="42" t="s">
        <v>227</v>
      </c>
      <c r="D109" s="42">
        <v>46252</v>
      </c>
      <c r="E109" s="52" t="s">
        <v>198</v>
      </c>
      <c r="F109" s="58" t="s">
        <v>322</v>
      </c>
      <c r="G109" s="47" t="s">
        <v>36</v>
      </c>
      <c r="H109" s="53">
        <v>2058434</v>
      </c>
      <c r="I109" s="53" t="s">
        <v>325</v>
      </c>
      <c r="J109" s="47">
        <v>7000</v>
      </c>
      <c r="K109" s="47">
        <v>4</v>
      </c>
      <c r="L109" s="47">
        <v>7000</v>
      </c>
      <c r="M109" s="47">
        <v>28000</v>
      </c>
      <c r="N109" s="42" t="s">
        <v>136</v>
      </c>
      <c r="O109" s="42">
        <v>46258</v>
      </c>
      <c r="P109" s="42">
        <v>46259</v>
      </c>
      <c r="Q109" s="42"/>
      <c r="R109" s="3"/>
      <c r="T109" s="33">
        <f ca="1" t="shared" si="11"/>
        <v>6</v>
      </c>
      <c r="XEV109" s="61"/>
      <c r="XEW109" s="62"/>
      <c r="XEX109" s="63"/>
      <c r="XEY109" s="63"/>
      <c r="XEZ109" s="64"/>
      <c r="XFA109" s="47"/>
      <c r="XFB109" s="51"/>
      <c r="XFC109" s="42"/>
      <c r="XFD109" s="42"/>
    </row>
    <row r="110" s="1" customFormat="1" ht="14.1" customHeight="1" spans="1:20 16374:16384">
      <c r="A110" s="47" t="s">
        <v>326</v>
      </c>
      <c r="B110" s="51">
        <v>46259</v>
      </c>
      <c r="C110" s="42">
        <v>9500229132</v>
      </c>
      <c r="D110" s="42">
        <v>46254</v>
      </c>
      <c r="E110" s="52" t="s">
        <v>198</v>
      </c>
      <c r="F110" s="30" t="s">
        <v>199</v>
      </c>
      <c r="G110" s="47" t="s">
        <v>36</v>
      </c>
      <c r="H110" s="53">
        <v>2074397</v>
      </c>
      <c r="I110" s="53" t="s">
        <v>327</v>
      </c>
      <c r="J110" s="47">
        <v>3000</v>
      </c>
      <c r="K110" s="47">
        <v>6.95</v>
      </c>
      <c r="L110" s="47">
        <v>3000</v>
      </c>
      <c r="M110" s="47">
        <v>20850</v>
      </c>
      <c r="N110" s="42" t="s">
        <v>170</v>
      </c>
      <c r="O110" s="42"/>
      <c r="P110" s="42"/>
      <c r="Q110" s="42"/>
      <c r="R110" s="33"/>
      <c r="T110" s="33">
        <f ca="1" t="shared" si="11"/>
        <v>2</v>
      </c>
      <c r="XET110" s="61"/>
      <c r="XEU110" s="62"/>
      <c r="XEV110" s="63"/>
      <c r="XEW110" s="63"/>
      <c r="XEX110" s="64"/>
      <c r="XEY110" s="47"/>
      <c r="XEZ110" s="51"/>
      <c r="XFA110" s="42"/>
      <c r="XFB110" s="42"/>
      <c r="XFC110" s="47"/>
      <c r="XFD110" s="51"/>
    </row>
    <row r="111" s="1" customFormat="1" ht="14.1" customHeight="1" spans="1:20 16374:16384">
      <c r="A111" s="47" t="s">
        <v>328</v>
      </c>
      <c r="B111" s="51">
        <v>46259</v>
      </c>
      <c r="C111" s="42">
        <v>9500229386</v>
      </c>
      <c r="D111" s="42">
        <v>46256</v>
      </c>
      <c r="E111" s="52" t="s">
        <v>82</v>
      </c>
      <c r="F111" s="30" t="s">
        <v>83</v>
      </c>
      <c r="G111" s="47" t="s">
        <v>36</v>
      </c>
      <c r="H111" s="53">
        <v>2094118</v>
      </c>
      <c r="I111" s="53" t="s">
        <v>329</v>
      </c>
      <c r="J111" s="47">
        <v>340000</v>
      </c>
      <c r="K111" s="47">
        <v>1.5</v>
      </c>
      <c r="L111" s="47">
        <v>340000</v>
      </c>
      <c r="M111" s="47">
        <v>510000</v>
      </c>
      <c r="N111" s="42" t="s">
        <v>170</v>
      </c>
      <c r="O111" s="42"/>
      <c r="P111" s="42"/>
      <c r="Q111" s="42"/>
      <c r="R111" s="33"/>
      <c r="T111" s="33">
        <f ca="1" t="shared" si="11"/>
        <v>2</v>
      </c>
      <c r="XET111" s="61"/>
      <c r="XEU111" s="62"/>
      <c r="XEV111" s="63"/>
      <c r="XEW111" s="63"/>
      <c r="XEX111" s="64"/>
      <c r="XEY111" s="47"/>
      <c r="XEZ111" s="51"/>
      <c r="XFA111" s="42"/>
      <c r="XFB111" s="42"/>
      <c r="XFC111" s="47"/>
      <c r="XFD111" s="51"/>
    </row>
    <row r="112" s="1" customFormat="1" ht="14.1" customHeight="1" spans="1:20 16374:16384">
      <c r="A112" s="47" t="s">
        <v>330</v>
      </c>
      <c r="B112" s="51">
        <v>46259</v>
      </c>
      <c r="C112" s="42" t="s">
        <v>331</v>
      </c>
      <c r="D112" s="42" t="s">
        <v>332</v>
      </c>
      <c r="E112" s="52" t="s">
        <v>204</v>
      </c>
      <c r="F112" s="30" t="s">
        <v>237</v>
      </c>
      <c r="G112" s="47" t="s">
        <v>28</v>
      </c>
      <c r="H112" s="53" t="s">
        <v>333</v>
      </c>
      <c r="I112" s="53" t="s">
        <v>334</v>
      </c>
      <c r="J112" s="47">
        <v>15000</v>
      </c>
      <c r="K112" s="47">
        <v>3.9</v>
      </c>
      <c r="L112" s="47">
        <v>15000</v>
      </c>
      <c r="M112" s="47">
        <v>58500</v>
      </c>
      <c r="N112" s="42" t="s">
        <v>170</v>
      </c>
      <c r="O112" s="42"/>
      <c r="P112" s="42"/>
      <c r="Q112" s="42"/>
      <c r="R112" s="33"/>
      <c r="T112" s="33">
        <f ca="1" t="shared" si="11"/>
        <v>2</v>
      </c>
      <c r="XET112" s="61"/>
      <c r="XEU112" s="62"/>
      <c r="XEV112" s="63"/>
      <c r="XEW112" s="63"/>
      <c r="XEX112" s="64"/>
      <c r="XEY112" s="47"/>
      <c r="XEZ112" s="51"/>
      <c r="XFA112" s="42"/>
      <c r="XFB112" s="42"/>
      <c r="XFC112" s="47"/>
      <c r="XFD112" s="51"/>
    </row>
    <row r="113" s="1" customFormat="1" ht="14.1" customHeight="1" spans="1:20 16374:16384">
      <c r="A113" s="47" t="s">
        <v>335</v>
      </c>
      <c r="B113" s="51">
        <v>46259</v>
      </c>
      <c r="C113" s="42">
        <v>8110001692</v>
      </c>
      <c r="D113" s="42">
        <v>46258</v>
      </c>
      <c r="E113" s="52" t="s">
        <v>249</v>
      </c>
      <c r="F113" s="30" t="s">
        <v>250</v>
      </c>
      <c r="G113" s="47" t="s">
        <v>36</v>
      </c>
      <c r="H113" s="53">
        <v>1050730</v>
      </c>
      <c r="I113" s="53" t="s">
        <v>336</v>
      </c>
      <c r="J113" s="47">
        <v>48000</v>
      </c>
      <c r="K113" s="47">
        <v>2.02</v>
      </c>
      <c r="L113" s="47">
        <v>48000</v>
      </c>
      <c r="M113" s="47">
        <v>96960</v>
      </c>
      <c r="N113" s="42" t="s">
        <v>170</v>
      </c>
      <c r="O113" s="42"/>
      <c r="P113" s="42"/>
      <c r="Q113" s="42"/>
      <c r="R113" s="33"/>
      <c r="T113" s="33">
        <f ca="1" t="shared" si="11"/>
        <v>2</v>
      </c>
      <c r="XET113" s="61"/>
      <c r="XEU113" s="62"/>
      <c r="XEV113" s="63"/>
      <c r="XEW113" s="63"/>
      <c r="XEX113" s="64"/>
      <c r="XEY113" s="47"/>
      <c r="XEZ113" s="51"/>
      <c r="XFA113" s="42"/>
      <c r="XFB113" s="42"/>
      <c r="XFC113" s="47"/>
      <c r="XFD113" s="51"/>
    </row>
    <row r="114" s="1" customFormat="1" ht="14.1" customHeight="1" spans="1:20 16374:16384">
      <c r="A114" s="47" t="s">
        <v>337</v>
      </c>
      <c r="B114" s="51">
        <v>46259</v>
      </c>
      <c r="C114" s="42">
        <v>8110001692</v>
      </c>
      <c r="D114" s="42">
        <v>46258</v>
      </c>
      <c r="E114" s="52" t="s">
        <v>249</v>
      </c>
      <c r="F114" s="30" t="s">
        <v>250</v>
      </c>
      <c r="G114" s="47" t="s">
        <v>36</v>
      </c>
      <c r="H114" s="53">
        <v>1050204</v>
      </c>
      <c r="I114" s="53" t="s">
        <v>338</v>
      </c>
      <c r="J114" s="47">
        <v>130000</v>
      </c>
      <c r="K114" s="47">
        <v>1.58</v>
      </c>
      <c r="L114" s="47">
        <v>130000</v>
      </c>
      <c r="M114" s="47">
        <v>205400</v>
      </c>
      <c r="N114" s="42" t="s">
        <v>170</v>
      </c>
      <c r="O114" s="42"/>
      <c r="P114" s="42"/>
      <c r="Q114" s="42"/>
      <c r="R114" s="33"/>
      <c r="T114" s="33">
        <f ca="1" t="shared" si="11"/>
        <v>2</v>
      </c>
      <c r="XET114" s="61"/>
      <c r="XEU114" s="62"/>
      <c r="XEV114" s="63"/>
      <c r="XEW114" s="63"/>
      <c r="XEX114" s="64"/>
      <c r="XEY114" s="47"/>
      <c r="XEZ114" s="51"/>
      <c r="XFA114" s="42"/>
      <c r="XFB114" s="42"/>
      <c r="XFC114" s="47"/>
      <c r="XFD114" s="51"/>
    </row>
    <row r="115" s="1" customFormat="1" ht="14.1" customHeight="1" spans="1:20 16374:16384">
      <c r="A115" s="47" t="s">
        <v>339</v>
      </c>
      <c r="B115" s="51">
        <v>46259</v>
      </c>
      <c r="C115" s="42">
        <v>9500229040</v>
      </c>
      <c r="D115" s="42">
        <v>46254</v>
      </c>
      <c r="E115" s="52" t="s">
        <v>198</v>
      </c>
      <c r="F115" s="30" t="s">
        <v>322</v>
      </c>
      <c r="G115" s="47" t="s">
        <v>36</v>
      </c>
      <c r="H115" s="53">
        <v>2077975</v>
      </c>
      <c r="I115" s="53" t="s">
        <v>340</v>
      </c>
      <c r="J115" s="47">
        <v>22000</v>
      </c>
      <c r="K115" s="47">
        <v>2.65</v>
      </c>
      <c r="L115" s="47">
        <v>22000</v>
      </c>
      <c r="M115" s="47">
        <v>58300</v>
      </c>
      <c r="N115" s="42" t="s">
        <v>170</v>
      </c>
      <c r="O115" s="42"/>
      <c r="P115" s="42"/>
      <c r="Q115" s="42"/>
      <c r="R115" s="33"/>
      <c r="T115" s="33">
        <f ca="1" t="shared" si="11"/>
        <v>2</v>
      </c>
      <c r="XET115" s="61"/>
      <c r="XEU115" s="62"/>
      <c r="XEV115" s="63"/>
      <c r="XEW115" s="63"/>
      <c r="XEX115" s="64"/>
      <c r="XEY115" s="47"/>
      <c r="XEZ115" s="51"/>
      <c r="XFA115" s="42"/>
      <c r="XFB115" s="42"/>
      <c r="XFC115" s="47"/>
      <c r="XFD115" s="51"/>
    </row>
    <row r="116" s="1" customFormat="1" ht="14.1" customHeight="1" spans="1:20 16374:16384">
      <c r="A116" s="47" t="s">
        <v>341</v>
      </c>
      <c r="B116" s="51">
        <v>46259</v>
      </c>
      <c r="C116" s="42">
        <v>4510017617</v>
      </c>
      <c r="D116" s="42">
        <v>46254</v>
      </c>
      <c r="E116" s="52" t="s">
        <v>289</v>
      </c>
      <c r="F116" s="30" t="s">
        <v>342</v>
      </c>
      <c r="G116" s="47" t="s">
        <v>28</v>
      </c>
      <c r="H116" s="53">
        <v>4200353</v>
      </c>
      <c r="I116" s="53" t="s">
        <v>343</v>
      </c>
      <c r="J116" s="47">
        <v>6300</v>
      </c>
      <c r="K116" s="47">
        <v>2.98</v>
      </c>
      <c r="L116" s="47">
        <v>6300</v>
      </c>
      <c r="M116" s="47">
        <v>18774</v>
      </c>
      <c r="N116" s="42" t="s">
        <v>170</v>
      </c>
      <c r="O116" s="42"/>
      <c r="P116" s="42"/>
      <c r="Q116" s="42"/>
      <c r="R116" s="33"/>
      <c r="T116" s="33">
        <f ca="1" t="shared" si="11"/>
        <v>2</v>
      </c>
      <c r="XET116" s="61"/>
      <c r="XEU116" s="62"/>
      <c r="XEV116" s="63"/>
      <c r="XEW116" s="63"/>
      <c r="XEX116" s="64"/>
      <c r="XEY116" s="47"/>
      <c r="XEZ116" s="51"/>
      <c r="XFA116" s="42"/>
      <c r="XFB116" s="42"/>
      <c r="XFC116" s="47"/>
      <c r="XFD116" s="51"/>
    </row>
    <row r="1048304" s="3" customFormat="1" customHeight="1" spans="3:10">
      <c r="C1048304" s="5"/>
      <c r="D1048304" s="5"/>
      <c r="F1048304" s="6"/>
      <c r="J1048304" s="5"/>
    </row>
    <row r="1048305" s="3" customFormat="1" customHeight="1" spans="3:22">
      <c r="C1048305" s="5"/>
      <c r="D1048305" s="5"/>
      <c r="F1048305" s="6"/>
      <c r="J1048305" s="5"/>
    </row>
    <row r="1048306" s="3" customFormat="1" customHeight="1" spans="3:22">
      <c r="C1048306" s="5"/>
      <c r="D1048306" s="5"/>
      <c r="F1048306" s="6"/>
      <c r="J1048306" s="5"/>
      <c r="V1048306" s="19"/>
    </row>
    <row r="1048307" s="3" customFormat="1" customHeight="1" spans="3:22">
      <c r="C1048307" s="5"/>
      <c r="D1048307" s="5"/>
      <c r="F1048307" s="6"/>
      <c r="J1048307" s="5"/>
      <c r="V1048307" s="26"/>
    </row>
    <row r="1048308" s="3" customFormat="1" customHeight="1" spans="3:22">
      <c r="C1048308" s="5"/>
      <c r="D1048308" s="5"/>
      <c r="F1048308" s="6"/>
      <c r="J1048308" s="5"/>
      <c r="V1048308" s="26"/>
    </row>
    <row r="1048309" s="3" customFormat="1" customHeight="1" spans="3:22">
      <c r="C1048309" s="5"/>
      <c r="D1048309" s="5"/>
      <c r="F1048309" s="6"/>
      <c r="J1048309" s="5"/>
      <c r="V1048309" s="26"/>
    </row>
    <row r="1048310" s="3" customFormat="1" customHeight="1" spans="3:22">
      <c r="C1048310" s="5"/>
      <c r="D1048310" s="5"/>
      <c r="F1048310" s="6"/>
      <c r="J1048310" s="5"/>
      <c r="V1048310" s="47"/>
    </row>
    <row r="1048311" s="3" customFormat="1" customHeight="1" spans="3:22">
      <c r="C1048311" s="5"/>
      <c r="D1048311" s="5"/>
      <c r="F1048311" s="6"/>
      <c r="J1048311" s="5"/>
      <c r="V1048311" s="35"/>
    </row>
    <row r="1048312" s="3" customFormat="1" customHeight="1" spans="3:22">
      <c r="C1048312" s="5"/>
      <c r="D1048312" s="5"/>
      <c r="F1048312" s="6"/>
      <c r="J1048312" s="5"/>
      <c r="V1048312" s="47"/>
    </row>
    <row r="1048313" s="3" customFormat="1" customHeight="1" spans="3:22">
      <c r="C1048313" s="5"/>
      <c r="D1048313" s="5"/>
      <c r="F1048313" s="6"/>
      <c r="J1048313" s="5"/>
      <c r="V1048313" s="47"/>
    </row>
    <row r="1048314" s="3" customFormat="1" customHeight="1" spans="3:22">
      <c r="C1048314" s="5"/>
      <c r="D1048314" s="5"/>
      <c r="F1048314" s="6"/>
      <c r="J1048314" s="5"/>
      <c r="V1048314" s="47"/>
    </row>
    <row r="1048315" s="3" customFormat="1" customHeight="1" spans="3:22">
      <c r="C1048315" s="5"/>
      <c r="D1048315" s="5"/>
      <c r="F1048315" s="6"/>
      <c r="J1048315" s="5"/>
      <c r="V1048315" s="47"/>
    </row>
    <row r="1048316" s="3" customFormat="1" customHeight="1" spans="3:22">
      <c r="C1048316" s="5"/>
      <c r="D1048316" s="5"/>
      <c r="F1048316" s="6"/>
      <c r="J1048316" s="5"/>
      <c r="V1048316" s="47"/>
    </row>
    <row r="1048317" s="3" customFormat="1" customHeight="1" spans="3:22">
      <c r="C1048317" s="5"/>
      <c r="D1048317" s="5"/>
      <c r="F1048317" s="6"/>
      <c r="J1048317" s="5"/>
      <c r="V1048317" s="47"/>
    </row>
    <row r="1048318" s="3" customFormat="1" customHeight="1" spans="3:22">
      <c r="C1048318" s="5"/>
      <c r="D1048318" s="5"/>
      <c r="F1048318" s="6"/>
      <c r="J1048318" s="5"/>
      <c r="V1048318" s="47"/>
    </row>
    <row r="1048319" s="3" customFormat="1" customHeight="1" spans="3:22">
      <c r="C1048319" s="5"/>
      <c r="D1048319" s="5"/>
      <c r="F1048319" s="6"/>
      <c r="J1048319" s="5"/>
      <c r="V1048319" s="47"/>
    </row>
    <row r="1048320" s="3" customFormat="1" customHeight="1" spans="3:22">
      <c r="C1048320" s="5"/>
      <c r="D1048320" s="5"/>
      <c r="F1048320" s="6"/>
      <c r="J1048320" s="5"/>
      <c r="V1048320" s="47"/>
    </row>
    <row r="1048321" s="3" customFormat="1" customHeight="1" spans="3:22">
      <c r="C1048321" s="5"/>
      <c r="D1048321" s="5"/>
      <c r="F1048321" s="6"/>
      <c r="J1048321" s="5"/>
      <c r="V1048321" s="47"/>
    </row>
    <row r="1048322" s="3" customFormat="1" customHeight="1" spans="3:22">
      <c r="C1048322" s="5"/>
      <c r="D1048322" s="5"/>
      <c r="F1048322" s="6"/>
      <c r="J1048322" s="5"/>
      <c r="V1048322" s="47"/>
    </row>
    <row r="1048323" s="3" customFormat="1" customHeight="1" spans="3:22">
      <c r="C1048323" s="5"/>
      <c r="D1048323" s="5"/>
      <c r="F1048323" s="6"/>
      <c r="J1048323" s="5"/>
      <c r="V1048323" s="47"/>
    </row>
    <row r="1048324" s="3" customFormat="1" customHeight="1" spans="3:22">
      <c r="C1048324" s="5"/>
      <c r="D1048324" s="5"/>
      <c r="F1048324" s="6"/>
      <c r="J1048324" s="5"/>
      <c r="V1048324" s="47"/>
    </row>
    <row r="1048325" s="3" customFormat="1" customHeight="1" spans="3:22">
      <c r="C1048325" s="5"/>
      <c r="D1048325" s="5"/>
      <c r="F1048325" s="6"/>
      <c r="J1048325" s="5"/>
      <c r="V1048325" s="47"/>
    </row>
    <row r="1048326" s="3" customFormat="1" customHeight="1" spans="3:22">
      <c r="C1048326" s="5"/>
      <c r="D1048326" s="5"/>
      <c r="F1048326" s="6"/>
      <c r="J1048326" s="5"/>
      <c r="V1048326" s="47"/>
    </row>
    <row r="1048327" s="3" customFormat="1" customHeight="1" spans="3:22">
      <c r="C1048327" s="5"/>
      <c r="D1048327" s="5"/>
      <c r="F1048327" s="6"/>
      <c r="J1048327" s="5"/>
      <c r="V1048327" s="47"/>
    </row>
    <row r="1048328" s="3" customFormat="1" customHeight="1" spans="3:22">
      <c r="C1048328" s="5"/>
      <c r="D1048328" s="5"/>
      <c r="F1048328" s="6"/>
      <c r="J1048328" s="5"/>
      <c r="V1048328" s="47"/>
    </row>
    <row r="1048329" s="3" customFormat="1" customHeight="1" spans="3:22">
      <c r="C1048329" s="5"/>
      <c r="D1048329" s="5"/>
      <c r="F1048329" s="6"/>
      <c r="J1048329" s="5"/>
      <c r="V1048329" s="47"/>
    </row>
    <row r="1048330" s="3" customFormat="1" customHeight="1" spans="3:22">
      <c r="C1048330" s="5"/>
      <c r="D1048330" s="5"/>
      <c r="F1048330" s="6"/>
      <c r="J1048330" s="5"/>
      <c r="V1048330" s="47"/>
    </row>
    <row r="1048331" s="3" customFormat="1" customHeight="1" spans="3:22">
      <c r="C1048331" s="5"/>
      <c r="D1048331" s="5"/>
      <c r="F1048331" s="6"/>
      <c r="J1048331" s="5"/>
      <c r="V1048331" s="47"/>
    </row>
    <row r="1048332" s="3" customFormat="1" customHeight="1" spans="3:22">
      <c r="C1048332" s="5"/>
      <c r="D1048332" s="5"/>
      <c r="F1048332" s="6"/>
      <c r="J1048332" s="5"/>
      <c r="V1048332" s="47"/>
    </row>
    <row r="1048333" s="3" customFormat="1" customHeight="1" spans="3:22">
      <c r="C1048333" s="5"/>
      <c r="D1048333" s="5"/>
      <c r="F1048333" s="6"/>
      <c r="J1048333" s="5"/>
      <c r="V1048333" s="47"/>
    </row>
    <row r="1048334" s="3" customFormat="1" customHeight="1" spans="3:22">
      <c r="C1048334" s="5"/>
      <c r="D1048334" s="5"/>
      <c r="F1048334" s="6"/>
      <c r="J1048334" s="5"/>
      <c r="V1048334" s="47"/>
    </row>
    <row r="1048335" s="3" customFormat="1" customHeight="1" spans="3:22">
      <c r="C1048335" s="5"/>
      <c r="D1048335" s="5"/>
      <c r="F1048335" s="6"/>
      <c r="J1048335" s="5"/>
      <c r="V1048335" s="47"/>
    </row>
    <row r="1048336" s="3" customFormat="1" customHeight="1" spans="3:22">
      <c r="C1048336" s="5"/>
      <c r="D1048336" s="5"/>
      <c r="F1048336" s="6"/>
      <c r="J1048336" s="5"/>
      <c r="V1048336" s="47"/>
    </row>
    <row r="1048337" s="3" customFormat="1" customHeight="1" spans="3:22">
      <c r="C1048337" s="5"/>
      <c r="D1048337" s="5"/>
      <c r="F1048337" s="6"/>
      <c r="J1048337" s="5"/>
      <c r="V1048337" s="47"/>
    </row>
    <row r="1048338" s="3" customFormat="1" customHeight="1" spans="3:22">
      <c r="C1048338" s="5"/>
      <c r="D1048338" s="5"/>
      <c r="F1048338" s="6"/>
      <c r="J1048338" s="5"/>
      <c r="V1048338" s="47"/>
    </row>
    <row r="1048339" s="3" customFormat="1" customHeight="1" spans="3:22">
      <c r="C1048339" s="5"/>
      <c r="D1048339" s="5"/>
      <c r="F1048339" s="6"/>
      <c r="J1048339" s="5"/>
      <c r="V1048339" s="47"/>
    </row>
    <row r="1048340" s="3" customFormat="1" customHeight="1" spans="3:22">
      <c r="C1048340" s="5"/>
      <c r="D1048340" s="5"/>
      <c r="F1048340" s="6"/>
      <c r="J1048340" s="5"/>
      <c r="V1048340" s="47"/>
    </row>
    <row r="1048341" s="3" customFormat="1" customHeight="1" spans="3:22">
      <c r="C1048341" s="5"/>
      <c r="D1048341" s="5"/>
      <c r="F1048341" s="6"/>
      <c r="J1048341" s="5"/>
      <c r="V1048341" s="47"/>
    </row>
    <row r="1048342" s="3" customFormat="1" customHeight="1" spans="3:22">
      <c r="C1048342" s="5"/>
      <c r="D1048342" s="5"/>
      <c r="F1048342" s="6"/>
      <c r="J1048342" s="5"/>
      <c r="V1048342" s="47"/>
    </row>
    <row r="1048343" s="3" customFormat="1" customHeight="1" spans="3:22">
      <c r="C1048343" s="5"/>
      <c r="D1048343" s="5"/>
      <c r="F1048343" s="6"/>
      <c r="J1048343" s="5"/>
      <c r="V1048343" s="47"/>
    </row>
    <row r="1048344" s="3" customFormat="1" customHeight="1" spans="3:22">
      <c r="C1048344" s="5"/>
      <c r="D1048344" s="5"/>
      <c r="F1048344" s="6"/>
      <c r="J1048344" s="5"/>
    </row>
    <row r="1048345" s="3" customFormat="1" customHeight="1" spans="3:22">
      <c r="C1048345" s="5"/>
      <c r="D1048345" s="5"/>
      <c r="F1048345" s="6"/>
      <c r="J1048345" s="5"/>
    </row>
    <row r="1048346" s="3" customFormat="1" customHeight="1" spans="3:22">
      <c r="C1048346" s="5"/>
      <c r="D1048346" s="5"/>
      <c r="F1048346" s="6"/>
      <c r="J1048346" s="5"/>
    </row>
    <row r="1048347" s="3" customFormat="1" customHeight="1" spans="3:22">
      <c r="C1048347" s="5"/>
      <c r="D1048347" s="5"/>
      <c r="F1048347" s="6"/>
      <c r="J1048347" s="5"/>
    </row>
    <row r="1048348" s="3" customFormat="1" customHeight="1" spans="3:22">
      <c r="C1048348" s="5"/>
      <c r="D1048348" s="5"/>
      <c r="F1048348" s="6"/>
      <c r="J1048348" s="5"/>
    </row>
    <row r="1048349" s="3" customFormat="1" customHeight="1" spans="3:22">
      <c r="C1048349" s="5"/>
      <c r="D1048349" s="5"/>
      <c r="F1048349" s="6"/>
      <c r="J1048349" s="5"/>
    </row>
    <row r="1048350" s="3" customFormat="1" customHeight="1" spans="3:22">
      <c r="C1048350" s="5"/>
      <c r="D1048350" s="5"/>
      <c r="F1048350" s="6"/>
      <c r="J1048350" s="5"/>
    </row>
    <row r="1048351" s="3" customFormat="1" customHeight="1" spans="3:22">
      <c r="C1048351" s="5"/>
      <c r="D1048351" s="5"/>
      <c r="F1048351" s="6"/>
      <c r="J1048351" s="5"/>
    </row>
    <row r="1048352" s="3" customFormat="1" customHeight="1" spans="3:22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  <row r="1048386" s="3" customFormat="1" customHeight="1" spans="3:10">
      <c r="C1048386" s="5"/>
      <c r="D1048386" s="5"/>
      <c r="F1048386" s="6"/>
      <c r="J1048386" s="5"/>
    </row>
    <row r="1048387" s="3" customFormat="1" customHeight="1" spans="3:10">
      <c r="C1048387" s="5"/>
      <c r="D1048387" s="5"/>
      <c r="F1048387" s="6"/>
      <c r="J1048387" s="5"/>
    </row>
    <row r="1048388" s="3" customFormat="1" customHeight="1" spans="3:10">
      <c r="C1048388" s="5"/>
      <c r="D1048388" s="5"/>
      <c r="F1048388" s="6"/>
      <c r="J1048388" s="5"/>
    </row>
    <row r="1048389" s="3" customFormat="1" customHeight="1" spans="3:10">
      <c r="C1048389" s="5"/>
      <c r="D1048389" s="5"/>
      <c r="F1048389" s="6"/>
      <c r="J1048389" s="5"/>
    </row>
    <row r="1048390" s="3" customFormat="1" customHeight="1" spans="3:10">
      <c r="C1048390" s="5"/>
      <c r="D1048390" s="5"/>
      <c r="F1048390" s="6"/>
      <c r="J1048390" s="5"/>
    </row>
    <row r="1048391" s="3" customFormat="1" customHeight="1" spans="3:10">
      <c r="C1048391" s="5"/>
      <c r="D1048391" s="5"/>
      <c r="F1048391" s="6"/>
      <c r="J1048391" s="5"/>
    </row>
    <row r="1048392" s="3" customFormat="1" customHeight="1" spans="3:10">
      <c r="C1048392" s="5"/>
      <c r="D1048392" s="5"/>
      <c r="F1048392" s="6"/>
      <c r="J1048392" s="5"/>
    </row>
  </sheetData>
  <autoFilter xmlns:etc="http://www.wps.cn/officeDocument/2017/etCustomData" ref="A3:XFD116" etc:filterBottomFollowUsedRange="0">
    <extLst/>
  </autoFilter>
  <mergeCells count="1">
    <mergeCell ref="G1:I2"/>
  </mergeCells>
  <conditionalFormatting sqref="H3">
    <cfRule type="duplicateValues" dxfId="0" priority="11246"/>
    <cfRule type="duplicateValues" dxfId="0" priority="11245"/>
  </conditionalFormatting>
  <conditionalFormatting sqref="A4">
    <cfRule type="duplicateValues" dxfId="0" priority="10370"/>
  </conditionalFormatting>
  <conditionalFormatting sqref="H4">
    <cfRule type="duplicateValues" dxfId="0" priority="11163"/>
  </conditionalFormatting>
  <conditionalFormatting sqref="J4">
    <cfRule type="duplicateValues" dxfId="0" priority="11164"/>
    <cfRule type="duplicateValues" dxfId="0" priority="11165"/>
    <cfRule type="duplicateValues" dxfId="0" priority="11166"/>
    <cfRule type="duplicateValues" dxfId="0" priority="11167"/>
    <cfRule type="duplicateValues" dxfId="0" priority="11168"/>
    <cfRule type="duplicateValues" dxfId="0" priority="11169"/>
    <cfRule type="duplicateValues" dxfId="0" priority="11170"/>
    <cfRule type="duplicateValues" dxfId="0" priority="11171"/>
    <cfRule type="duplicateValues" dxfId="0" priority="11172"/>
    <cfRule type="duplicateValues" dxfId="0" priority="11173"/>
    <cfRule type="duplicateValues" dxfId="0" priority="11174"/>
    <cfRule type="duplicateValues" dxfId="0" priority="11175"/>
    <cfRule type="duplicateValues" dxfId="0" priority="11176"/>
    <cfRule type="duplicateValues" dxfId="0" priority="11177"/>
    <cfRule type="duplicateValues" dxfId="0" priority="11178"/>
    <cfRule type="duplicateValues" dxfId="0" priority="11179"/>
    <cfRule type="duplicateValues" dxfId="0" priority="11180"/>
    <cfRule type="duplicateValues" dxfId="0" priority="11181"/>
    <cfRule type="duplicateValues" dxfId="0" priority="11182"/>
    <cfRule type="duplicateValues" dxfId="0" priority="11183"/>
  </conditionalFormatting>
  <conditionalFormatting sqref="M4">
    <cfRule type="duplicateValues" dxfId="0" priority="10350"/>
    <cfRule type="duplicateValues" dxfId="0" priority="10351"/>
    <cfRule type="duplicateValues" dxfId="0" priority="10352"/>
    <cfRule type="duplicateValues" dxfId="0" priority="10353"/>
    <cfRule type="duplicateValues" dxfId="0" priority="10354"/>
    <cfRule type="duplicateValues" dxfId="0" priority="10355"/>
    <cfRule type="duplicateValues" dxfId="0" priority="10356"/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</conditionalFormatting>
  <conditionalFormatting sqref="N4:O4">
    <cfRule type="duplicateValues" dxfId="0" priority="11103"/>
    <cfRule type="duplicateValues" dxfId="0" priority="11104"/>
    <cfRule type="duplicateValues" dxfId="0" priority="11105"/>
    <cfRule type="duplicateValues" dxfId="0" priority="11106"/>
    <cfRule type="duplicateValues" dxfId="0" priority="11107"/>
    <cfRule type="duplicateValues" dxfId="0" priority="11108"/>
    <cfRule type="duplicateValues" dxfId="0" priority="11109"/>
    <cfRule type="duplicateValues" dxfId="0" priority="11110"/>
    <cfRule type="duplicateValues" dxfId="0" priority="11111"/>
    <cfRule type="duplicateValues" dxfId="0" priority="11112"/>
    <cfRule type="duplicateValues" dxfId="0" priority="11113"/>
    <cfRule type="duplicateValues" dxfId="0" priority="11114"/>
    <cfRule type="duplicateValues" dxfId="0" priority="11115"/>
    <cfRule type="duplicateValues" dxfId="0" priority="11116"/>
    <cfRule type="duplicateValues" dxfId="0" priority="11117"/>
    <cfRule type="duplicateValues" dxfId="0" priority="11118"/>
    <cfRule type="duplicateValues" dxfId="0" priority="11119"/>
    <cfRule type="duplicateValues" dxfId="0" priority="11120"/>
    <cfRule type="duplicateValues" dxfId="0" priority="11121"/>
    <cfRule type="duplicateValues" dxfId="0" priority="11122"/>
  </conditionalFormatting>
  <conditionalFormatting sqref="Q4:R4">
    <cfRule type="duplicateValues" dxfId="0" priority="11143"/>
    <cfRule type="duplicateValues" dxfId="0" priority="11144"/>
    <cfRule type="duplicateValues" dxfId="0" priority="11145"/>
    <cfRule type="duplicateValues" dxfId="0" priority="11146"/>
    <cfRule type="duplicateValues" dxfId="0" priority="11147"/>
    <cfRule type="duplicateValues" dxfId="0" priority="11148"/>
    <cfRule type="duplicateValues" dxfId="0" priority="11149"/>
    <cfRule type="duplicateValues" dxfId="0" priority="11150"/>
    <cfRule type="duplicateValues" dxfId="0" priority="11151"/>
    <cfRule type="duplicateValues" dxfId="0" priority="11152"/>
    <cfRule type="duplicateValues" dxfId="0" priority="11153"/>
    <cfRule type="duplicateValues" dxfId="0" priority="11154"/>
    <cfRule type="duplicateValues" dxfId="0" priority="11155"/>
    <cfRule type="duplicateValues" dxfId="0" priority="11156"/>
    <cfRule type="duplicateValues" dxfId="0" priority="11157"/>
    <cfRule type="duplicateValues" dxfId="0" priority="11158"/>
    <cfRule type="duplicateValues" dxfId="0" priority="11159"/>
    <cfRule type="duplicateValues" dxfId="0" priority="11160"/>
    <cfRule type="duplicateValues" dxfId="0" priority="11161"/>
    <cfRule type="duplicateValues" dxfId="0" priority="11162"/>
  </conditionalFormatting>
  <conditionalFormatting sqref="A5">
    <cfRule type="duplicateValues" dxfId="0" priority="10959"/>
  </conditionalFormatting>
  <conditionalFormatting sqref="H5">
    <cfRule type="duplicateValues" dxfId="0" priority="10960"/>
    <cfRule type="duplicateValues" dxfId="0" priority="10961"/>
    <cfRule type="duplicateValues" dxfId="0" priority="10962"/>
    <cfRule type="duplicateValues" dxfId="0" priority="10963"/>
    <cfRule type="duplicateValues" dxfId="0" priority="10964"/>
    <cfRule type="duplicateValues" dxfId="0" priority="10965"/>
    <cfRule type="duplicateValues" dxfId="0" priority="10966"/>
    <cfRule type="duplicateValues" dxfId="0" priority="10967"/>
    <cfRule type="duplicateValues" dxfId="0" priority="10968"/>
    <cfRule type="duplicateValues" dxfId="0" priority="10969"/>
    <cfRule type="duplicateValues" dxfId="0" priority="10970"/>
    <cfRule type="duplicateValues" dxfId="0" priority="10971"/>
    <cfRule type="duplicateValues" dxfId="0" priority="10972"/>
    <cfRule type="duplicateValues" dxfId="0" priority="10973"/>
    <cfRule type="duplicateValues" dxfId="0" priority="10974"/>
    <cfRule type="duplicateValues" dxfId="0" priority="10975"/>
    <cfRule type="duplicateValues" dxfId="0" priority="10976"/>
    <cfRule type="duplicateValues" dxfId="0" priority="10977"/>
    <cfRule type="duplicateValues" dxfId="0" priority="10978"/>
    <cfRule type="duplicateValues" dxfId="0" priority="10979"/>
  </conditionalFormatting>
  <conditionalFormatting sqref="J5"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5"/>
    <cfRule type="duplicateValues" dxfId="0" priority="10946"/>
    <cfRule type="duplicateValues" dxfId="0" priority="10947"/>
    <cfRule type="duplicateValues" dxfId="0" priority="10948"/>
    <cfRule type="duplicateValues" dxfId="0" priority="10949"/>
    <cfRule type="duplicateValues" dxfId="0" priority="10950"/>
    <cfRule type="duplicateValues" dxfId="0" priority="10951"/>
    <cfRule type="duplicateValues" dxfId="0" priority="10952"/>
    <cfRule type="duplicateValues" dxfId="0" priority="10953"/>
    <cfRule type="duplicateValues" dxfId="0" priority="10954"/>
    <cfRule type="duplicateValues" dxfId="0" priority="10955"/>
    <cfRule type="duplicateValues" dxfId="0" priority="10956"/>
    <cfRule type="duplicateValues" dxfId="0" priority="10957"/>
    <cfRule type="duplicateValues" dxfId="0" priority="10958"/>
  </conditionalFormatting>
  <conditionalFormatting sqref="L5">
    <cfRule type="duplicateValues" dxfId="0" priority="10919"/>
    <cfRule type="duplicateValues" dxfId="0" priority="10920"/>
    <cfRule type="duplicateValues" dxfId="0" priority="10921"/>
    <cfRule type="duplicateValues" dxfId="0" priority="10922"/>
    <cfRule type="duplicateValues" dxfId="0" priority="10923"/>
    <cfRule type="duplicateValues" dxfId="0" priority="10924"/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8"/>
  </conditionalFormatting>
  <conditionalFormatting sqref="A6">
    <cfRule type="duplicateValues" dxfId="0" priority="10573"/>
  </conditionalFormatting>
  <conditionalFormatting sqref="H6">
    <cfRule type="duplicateValues" dxfId="0" priority="10575"/>
    <cfRule type="duplicateValues" dxfId="0" priority="10577"/>
    <cfRule type="duplicateValues" dxfId="0" priority="10579"/>
    <cfRule type="duplicateValues" dxfId="0" priority="10581"/>
    <cfRule type="duplicateValues" dxfId="0" priority="10583"/>
    <cfRule type="duplicateValues" dxfId="0" priority="10585"/>
    <cfRule type="duplicateValues" dxfId="0" priority="10587"/>
    <cfRule type="duplicateValues" dxfId="0" priority="10589"/>
    <cfRule type="duplicateValues" dxfId="0" priority="10591"/>
    <cfRule type="duplicateValues" dxfId="0" priority="10593"/>
    <cfRule type="duplicateValues" dxfId="0" priority="10595"/>
    <cfRule type="duplicateValues" dxfId="0" priority="10597"/>
    <cfRule type="duplicateValues" dxfId="0" priority="10599"/>
    <cfRule type="duplicateValues" dxfId="0" priority="10601"/>
    <cfRule type="duplicateValues" dxfId="0" priority="10603"/>
    <cfRule type="duplicateValues" dxfId="0" priority="10605"/>
    <cfRule type="duplicateValues" dxfId="0" priority="10607"/>
    <cfRule type="duplicateValues" dxfId="0" priority="10609"/>
    <cfRule type="duplicateValues" dxfId="0" priority="10611"/>
    <cfRule type="duplicateValues" dxfId="0" priority="10613"/>
  </conditionalFormatting>
  <conditionalFormatting sqref="J6">
    <cfRule type="duplicateValues" dxfId="0" priority="10533"/>
    <cfRule type="duplicateValues" dxfId="0" priority="10535"/>
    <cfRule type="duplicateValues" dxfId="0" priority="10537"/>
    <cfRule type="duplicateValues" dxfId="0" priority="10539"/>
    <cfRule type="duplicateValues" dxfId="0" priority="10541"/>
    <cfRule type="duplicateValues" dxfId="0" priority="10543"/>
    <cfRule type="duplicateValues" dxfId="0" priority="10545"/>
    <cfRule type="duplicateValues" dxfId="0" priority="10547"/>
    <cfRule type="duplicateValues" dxfId="0" priority="10549"/>
    <cfRule type="duplicateValues" dxfId="0" priority="10551"/>
    <cfRule type="duplicateValues" dxfId="0" priority="10553"/>
    <cfRule type="duplicateValues" dxfId="0" priority="10555"/>
    <cfRule type="duplicateValues" dxfId="0" priority="10557"/>
    <cfRule type="duplicateValues" dxfId="0" priority="10559"/>
    <cfRule type="duplicateValues" dxfId="0" priority="10561"/>
    <cfRule type="duplicateValues" dxfId="0" priority="10563"/>
    <cfRule type="duplicateValues" dxfId="0" priority="10565"/>
    <cfRule type="duplicateValues" dxfId="0" priority="10567"/>
    <cfRule type="duplicateValues" dxfId="0" priority="10569"/>
    <cfRule type="duplicateValues" dxfId="0" priority="10571"/>
  </conditionalFormatting>
  <conditionalFormatting sqref="L6">
    <cfRule type="duplicateValues" dxfId="0" priority="10453"/>
    <cfRule type="duplicateValues" dxfId="0" priority="10455"/>
    <cfRule type="duplicateValues" dxfId="0" priority="10457"/>
    <cfRule type="duplicateValues" dxfId="0" priority="10459"/>
    <cfRule type="duplicateValues" dxfId="0" priority="10461"/>
    <cfRule type="duplicateValues" dxfId="0" priority="10463"/>
    <cfRule type="duplicateValues" dxfId="0" priority="10465"/>
    <cfRule type="duplicateValues" dxfId="0" priority="10467"/>
    <cfRule type="duplicateValues" dxfId="0" priority="10469"/>
    <cfRule type="duplicateValues" dxfId="0" priority="10471"/>
    <cfRule type="duplicateValues" dxfId="0" priority="10473"/>
    <cfRule type="duplicateValues" dxfId="0" priority="10475"/>
    <cfRule type="duplicateValues" dxfId="0" priority="10477"/>
    <cfRule type="duplicateValues" dxfId="0" priority="10479"/>
    <cfRule type="duplicateValues" dxfId="0" priority="10481"/>
    <cfRule type="duplicateValues" dxfId="0" priority="10483"/>
    <cfRule type="duplicateValues" dxfId="0" priority="10485"/>
    <cfRule type="duplicateValues" dxfId="0" priority="10487"/>
    <cfRule type="duplicateValues" dxfId="0" priority="10489"/>
    <cfRule type="duplicateValues" dxfId="0" priority="10491"/>
  </conditionalFormatting>
  <conditionalFormatting sqref="M6">
    <cfRule type="duplicateValues" dxfId="0" priority="10493"/>
    <cfRule type="duplicateValues" dxfId="0" priority="10495"/>
    <cfRule type="duplicateValues" dxfId="0" priority="10497"/>
    <cfRule type="duplicateValues" dxfId="0" priority="10499"/>
    <cfRule type="duplicateValues" dxfId="0" priority="10501"/>
    <cfRule type="duplicateValues" dxfId="0" priority="10503"/>
    <cfRule type="duplicateValues" dxfId="0" priority="10505"/>
    <cfRule type="duplicateValues" dxfId="0" priority="10507"/>
    <cfRule type="duplicateValues" dxfId="0" priority="10509"/>
    <cfRule type="duplicateValues" dxfId="0" priority="10511"/>
    <cfRule type="duplicateValues" dxfId="0" priority="10513"/>
    <cfRule type="duplicateValues" dxfId="0" priority="10515"/>
    <cfRule type="duplicateValues" dxfId="0" priority="10517"/>
    <cfRule type="duplicateValues" dxfId="0" priority="10519"/>
    <cfRule type="duplicateValues" dxfId="0" priority="10521"/>
    <cfRule type="duplicateValues" dxfId="0" priority="10523"/>
    <cfRule type="duplicateValues" dxfId="0" priority="10525"/>
    <cfRule type="duplicateValues" dxfId="0" priority="10527"/>
    <cfRule type="duplicateValues" dxfId="0" priority="10529"/>
    <cfRule type="duplicateValues" dxfId="0" priority="10531"/>
  </conditionalFormatting>
  <conditionalFormatting sqref="A7">
    <cfRule type="duplicateValues" dxfId="0" priority="10572"/>
  </conditionalFormatting>
  <conditionalFormatting sqref="H7">
    <cfRule type="duplicateValues" dxfId="0" priority="10574"/>
    <cfRule type="duplicateValues" dxfId="0" priority="10576"/>
    <cfRule type="duplicateValues" dxfId="0" priority="10578"/>
    <cfRule type="duplicateValues" dxfId="0" priority="10580"/>
    <cfRule type="duplicateValues" dxfId="0" priority="10582"/>
    <cfRule type="duplicateValues" dxfId="0" priority="10584"/>
    <cfRule type="duplicateValues" dxfId="0" priority="10586"/>
    <cfRule type="duplicateValues" dxfId="0" priority="10588"/>
    <cfRule type="duplicateValues" dxfId="0" priority="10590"/>
    <cfRule type="duplicateValues" dxfId="0" priority="10592"/>
    <cfRule type="duplicateValues" dxfId="0" priority="10594"/>
    <cfRule type="duplicateValues" dxfId="0" priority="10596"/>
    <cfRule type="duplicateValues" dxfId="0" priority="10598"/>
    <cfRule type="duplicateValues" dxfId="0" priority="10600"/>
    <cfRule type="duplicateValues" dxfId="0" priority="10602"/>
    <cfRule type="duplicateValues" dxfId="0" priority="10604"/>
    <cfRule type="duplicateValues" dxfId="0" priority="10606"/>
    <cfRule type="duplicateValues" dxfId="0" priority="10608"/>
    <cfRule type="duplicateValues" dxfId="0" priority="10610"/>
    <cfRule type="duplicateValues" dxfId="0" priority="10612"/>
  </conditionalFormatting>
  <conditionalFormatting sqref="J7">
    <cfRule type="duplicateValues" dxfId="0" priority="10532"/>
    <cfRule type="duplicateValues" dxfId="0" priority="10534"/>
    <cfRule type="duplicateValues" dxfId="0" priority="10536"/>
    <cfRule type="duplicateValues" dxfId="0" priority="10538"/>
    <cfRule type="duplicateValues" dxfId="0" priority="10540"/>
    <cfRule type="duplicateValues" dxfId="0" priority="10542"/>
    <cfRule type="duplicateValues" dxfId="0" priority="10544"/>
    <cfRule type="duplicateValues" dxfId="0" priority="10546"/>
    <cfRule type="duplicateValues" dxfId="0" priority="10548"/>
    <cfRule type="duplicateValues" dxfId="0" priority="10550"/>
    <cfRule type="duplicateValues" dxfId="0" priority="10552"/>
    <cfRule type="duplicateValues" dxfId="0" priority="10554"/>
    <cfRule type="duplicateValues" dxfId="0" priority="10556"/>
    <cfRule type="duplicateValues" dxfId="0" priority="10558"/>
    <cfRule type="duplicateValues" dxfId="0" priority="10560"/>
    <cfRule type="duplicateValues" dxfId="0" priority="10562"/>
    <cfRule type="duplicateValues" dxfId="0" priority="10564"/>
    <cfRule type="duplicateValues" dxfId="0" priority="10566"/>
    <cfRule type="duplicateValues" dxfId="0" priority="10568"/>
    <cfRule type="duplicateValues" dxfId="0" priority="10570"/>
  </conditionalFormatting>
  <conditionalFormatting sqref="L7">
    <cfRule type="duplicateValues" dxfId="0" priority="10452"/>
    <cfRule type="duplicateValues" dxfId="0" priority="10454"/>
    <cfRule type="duplicateValues" dxfId="0" priority="10456"/>
    <cfRule type="duplicateValues" dxfId="0" priority="10458"/>
    <cfRule type="duplicateValues" dxfId="0" priority="10460"/>
    <cfRule type="duplicateValues" dxfId="0" priority="10462"/>
    <cfRule type="duplicateValues" dxfId="0" priority="10464"/>
    <cfRule type="duplicateValues" dxfId="0" priority="10466"/>
    <cfRule type="duplicateValues" dxfId="0" priority="10468"/>
    <cfRule type="duplicateValues" dxfId="0" priority="10470"/>
    <cfRule type="duplicateValues" dxfId="0" priority="10472"/>
    <cfRule type="duplicateValues" dxfId="0" priority="10474"/>
    <cfRule type="duplicateValues" dxfId="0" priority="10476"/>
    <cfRule type="duplicateValues" dxfId="0" priority="10478"/>
    <cfRule type="duplicateValues" dxfId="0" priority="10480"/>
    <cfRule type="duplicateValues" dxfId="0" priority="10482"/>
    <cfRule type="duplicateValues" dxfId="0" priority="10484"/>
    <cfRule type="duplicateValues" dxfId="0" priority="10486"/>
    <cfRule type="duplicateValues" dxfId="0" priority="10488"/>
    <cfRule type="duplicateValues" dxfId="0" priority="10490"/>
  </conditionalFormatting>
  <conditionalFormatting sqref="M7">
    <cfRule type="duplicateValues" dxfId="0" priority="10492"/>
    <cfRule type="duplicateValues" dxfId="0" priority="10494"/>
    <cfRule type="duplicateValues" dxfId="0" priority="10496"/>
    <cfRule type="duplicateValues" dxfId="0" priority="10498"/>
    <cfRule type="duplicateValues" dxfId="0" priority="10500"/>
    <cfRule type="duplicateValues" dxfId="0" priority="10502"/>
    <cfRule type="duplicateValues" dxfId="0" priority="10504"/>
    <cfRule type="duplicateValues" dxfId="0" priority="10506"/>
    <cfRule type="duplicateValues" dxfId="0" priority="10508"/>
    <cfRule type="duplicateValues" dxfId="0" priority="10510"/>
    <cfRule type="duplicateValues" dxfId="0" priority="10512"/>
    <cfRule type="duplicateValues" dxfId="0" priority="10514"/>
    <cfRule type="duplicateValues" dxfId="0" priority="10516"/>
    <cfRule type="duplicateValues" dxfId="0" priority="10518"/>
    <cfRule type="duplicateValues" dxfId="0" priority="10520"/>
    <cfRule type="duplicateValues" dxfId="0" priority="10522"/>
    <cfRule type="duplicateValues" dxfId="0" priority="10524"/>
    <cfRule type="duplicateValues" dxfId="0" priority="10526"/>
    <cfRule type="duplicateValues" dxfId="0" priority="10528"/>
    <cfRule type="duplicateValues" dxfId="0" priority="10530"/>
  </conditionalFormatting>
  <conditionalFormatting sqref="A8">
    <cfRule type="duplicateValues" dxfId="0" priority="10329"/>
  </conditionalFormatting>
  <conditionalFormatting sqref="H8">
    <cfRule type="duplicateValues" dxfId="0" priority="10330"/>
    <cfRule type="duplicateValues" dxfId="0" priority="10331"/>
    <cfRule type="duplicateValues" dxfId="0" priority="10332"/>
    <cfRule type="duplicateValues" dxfId="0" priority="10333"/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</conditionalFormatting>
  <conditionalFormatting sqref="J8"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  <cfRule type="duplicateValues" dxfId="0" priority="10325"/>
    <cfRule type="duplicateValues" dxfId="0" priority="10326"/>
    <cfRule type="duplicateValues" dxfId="0" priority="10327"/>
    <cfRule type="duplicateValues" dxfId="0" priority="10328"/>
  </conditionalFormatting>
  <conditionalFormatting sqref="L8">
    <cfRule type="duplicateValues" dxfId="0" priority="10269"/>
    <cfRule type="duplicateValues" dxfId="0" priority="10270"/>
    <cfRule type="duplicateValues" dxfId="0" priority="10271"/>
    <cfRule type="duplicateValues" dxfId="0" priority="10272"/>
    <cfRule type="duplicateValues" dxfId="0" priority="10273"/>
    <cfRule type="duplicateValues" dxfId="0" priority="10274"/>
    <cfRule type="duplicateValues" dxfId="0" priority="10275"/>
    <cfRule type="duplicateValues" dxfId="0" priority="10276"/>
    <cfRule type="duplicateValues" dxfId="0" priority="10277"/>
    <cfRule type="duplicateValues" dxfId="0" priority="10278"/>
    <cfRule type="duplicateValues" dxfId="0" priority="10279"/>
    <cfRule type="duplicateValues" dxfId="0" priority="10280"/>
    <cfRule type="duplicateValues" dxfId="0" priority="10281"/>
    <cfRule type="duplicateValues" dxfId="0" priority="10282"/>
    <cfRule type="duplicateValues" dxfId="0" priority="10283"/>
    <cfRule type="duplicateValues" dxfId="0" priority="10284"/>
    <cfRule type="duplicateValues" dxfId="0" priority="10285"/>
    <cfRule type="duplicateValues" dxfId="0" priority="10286"/>
    <cfRule type="duplicateValues" dxfId="0" priority="10287"/>
    <cfRule type="duplicateValues" dxfId="0" priority="10288"/>
  </conditionalFormatting>
  <conditionalFormatting sqref="M8">
    <cfRule type="duplicateValues" dxfId="0" priority="10289"/>
    <cfRule type="duplicateValues" dxfId="0" priority="10290"/>
    <cfRule type="duplicateValues" dxfId="0" priority="10291"/>
    <cfRule type="duplicateValues" dxfId="0" priority="10292"/>
    <cfRule type="duplicateValues" dxfId="0" priority="10293"/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  <cfRule type="duplicateValues" dxfId="0" priority="10305"/>
    <cfRule type="duplicateValues" dxfId="0" priority="10306"/>
    <cfRule type="duplicateValues" dxfId="0" priority="10307"/>
    <cfRule type="duplicateValues" dxfId="0" priority="10308"/>
  </conditionalFormatting>
  <conditionalFormatting sqref="A9">
    <cfRule type="duplicateValues" dxfId="0" priority="10228"/>
  </conditionalFormatting>
  <conditionalFormatting sqref="H9">
    <cfRule type="duplicateValues" dxfId="0" priority="10230"/>
    <cfRule type="duplicateValues" dxfId="0" priority="10232"/>
    <cfRule type="duplicateValues" dxfId="0" priority="10234"/>
    <cfRule type="duplicateValues" dxfId="0" priority="10236"/>
    <cfRule type="duplicateValues" dxfId="0" priority="10238"/>
    <cfRule type="duplicateValues" dxfId="0" priority="10240"/>
    <cfRule type="duplicateValues" dxfId="0" priority="10242"/>
    <cfRule type="duplicateValues" dxfId="0" priority="10244"/>
    <cfRule type="duplicateValues" dxfId="0" priority="10246"/>
    <cfRule type="duplicateValues" dxfId="0" priority="10248"/>
    <cfRule type="duplicateValues" dxfId="0" priority="10250"/>
    <cfRule type="duplicateValues" dxfId="0" priority="10252"/>
    <cfRule type="duplicateValues" dxfId="0" priority="10254"/>
    <cfRule type="duplicateValues" dxfId="0" priority="10256"/>
    <cfRule type="duplicateValues" dxfId="0" priority="10258"/>
    <cfRule type="duplicateValues" dxfId="0" priority="10260"/>
    <cfRule type="duplicateValues" dxfId="0" priority="10262"/>
    <cfRule type="duplicateValues" dxfId="0" priority="10264"/>
    <cfRule type="duplicateValues" dxfId="0" priority="10266"/>
    <cfRule type="duplicateValues" dxfId="0" priority="10268"/>
  </conditionalFormatting>
  <conditionalFormatting sqref="J9">
    <cfRule type="duplicateValues" dxfId="0" priority="10188"/>
    <cfRule type="duplicateValues" dxfId="0" priority="10190"/>
    <cfRule type="duplicateValues" dxfId="0" priority="10192"/>
    <cfRule type="duplicateValues" dxfId="0" priority="10194"/>
    <cfRule type="duplicateValues" dxfId="0" priority="10196"/>
    <cfRule type="duplicateValues" dxfId="0" priority="10198"/>
    <cfRule type="duplicateValues" dxfId="0" priority="10200"/>
    <cfRule type="duplicateValues" dxfId="0" priority="10202"/>
    <cfRule type="duplicateValues" dxfId="0" priority="10204"/>
    <cfRule type="duplicateValues" dxfId="0" priority="10206"/>
    <cfRule type="duplicateValues" dxfId="0" priority="10208"/>
    <cfRule type="duplicateValues" dxfId="0" priority="10210"/>
    <cfRule type="duplicateValues" dxfId="0" priority="10212"/>
    <cfRule type="duplicateValues" dxfId="0" priority="10214"/>
    <cfRule type="duplicateValues" dxfId="0" priority="10216"/>
    <cfRule type="duplicateValues" dxfId="0" priority="10218"/>
    <cfRule type="duplicateValues" dxfId="0" priority="10220"/>
    <cfRule type="duplicateValues" dxfId="0" priority="10222"/>
    <cfRule type="duplicateValues" dxfId="0" priority="10224"/>
    <cfRule type="duplicateValues" dxfId="0" priority="10226"/>
  </conditionalFormatting>
  <conditionalFormatting sqref="L9">
    <cfRule type="duplicateValues" dxfId="0" priority="10147"/>
    <cfRule type="duplicateValues" dxfId="0" priority="10148"/>
    <cfRule type="duplicateValues" dxfId="0" priority="10149"/>
    <cfRule type="duplicateValues" dxfId="0" priority="10150"/>
    <cfRule type="duplicateValues" dxfId="0" priority="10151"/>
    <cfRule type="duplicateValues" dxfId="0" priority="10152"/>
    <cfRule type="duplicateValues" dxfId="0" priority="10153"/>
    <cfRule type="duplicateValues" dxfId="0" priority="10154"/>
    <cfRule type="duplicateValues" dxfId="0" priority="10155"/>
    <cfRule type="duplicateValues" dxfId="0" priority="10156"/>
    <cfRule type="duplicateValues" dxfId="0" priority="10157"/>
    <cfRule type="duplicateValues" dxfId="0" priority="10158"/>
    <cfRule type="duplicateValues" dxfId="0" priority="10159"/>
    <cfRule type="duplicateValues" dxfId="0" priority="10160"/>
    <cfRule type="duplicateValues" dxfId="0" priority="10161"/>
    <cfRule type="duplicateValues" dxfId="0" priority="10162"/>
    <cfRule type="duplicateValues" dxfId="0" priority="10163"/>
    <cfRule type="duplicateValues" dxfId="0" priority="10164"/>
    <cfRule type="duplicateValues" dxfId="0" priority="10165"/>
    <cfRule type="duplicateValues" dxfId="0" priority="10166"/>
  </conditionalFormatting>
  <conditionalFormatting sqref="M9">
    <cfRule type="duplicateValues" dxfId="0" priority="10167"/>
    <cfRule type="duplicateValues" dxfId="0" priority="10168"/>
    <cfRule type="duplicateValues" dxfId="0" priority="10169"/>
    <cfRule type="duplicateValues" dxfId="0" priority="10170"/>
    <cfRule type="duplicateValues" dxfId="0" priority="10171"/>
    <cfRule type="duplicateValues" dxfId="0" priority="10172"/>
    <cfRule type="duplicateValues" dxfId="0" priority="10173"/>
    <cfRule type="duplicateValues" dxfId="0" priority="10174"/>
    <cfRule type="duplicateValues" dxfId="0" priority="10175"/>
    <cfRule type="duplicateValues" dxfId="0" priority="10176"/>
    <cfRule type="duplicateValues" dxfId="0" priority="10177"/>
    <cfRule type="duplicateValues" dxfId="0" priority="10178"/>
    <cfRule type="duplicateValues" dxfId="0" priority="10179"/>
    <cfRule type="duplicateValues" dxfId="0" priority="10180"/>
    <cfRule type="duplicateValues" dxfId="0" priority="10181"/>
    <cfRule type="duplicateValues" dxfId="0" priority="10182"/>
    <cfRule type="duplicateValues" dxfId="0" priority="10183"/>
    <cfRule type="duplicateValues" dxfId="0" priority="10184"/>
    <cfRule type="duplicateValues" dxfId="0" priority="10185"/>
    <cfRule type="duplicateValues" dxfId="0" priority="10186"/>
  </conditionalFormatting>
  <conditionalFormatting sqref="A10">
    <cfRule type="duplicateValues" dxfId="0" priority="10106"/>
  </conditionalFormatting>
  <conditionalFormatting sqref="H10">
    <cfRule type="duplicateValues" dxfId="0" priority="10108"/>
    <cfRule type="duplicateValues" dxfId="0" priority="10110"/>
    <cfRule type="duplicateValues" dxfId="0" priority="10112"/>
    <cfRule type="duplicateValues" dxfId="0" priority="10114"/>
    <cfRule type="duplicateValues" dxfId="0" priority="10116"/>
    <cfRule type="duplicateValues" dxfId="0" priority="10118"/>
    <cfRule type="duplicateValues" dxfId="0" priority="10120"/>
    <cfRule type="duplicateValues" dxfId="0" priority="10122"/>
    <cfRule type="duplicateValues" dxfId="0" priority="10124"/>
    <cfRule type="duplicateValues" dxfId="0" priority="10126"/>
    <cfRule type="duplicateValues" dxfId="0" priority="10128"/>
    <cfRule type="duplicateValues" dxfId="0" priority="10130"/>
    <cfRule type="duplicateValues" dxfId="0" priority="10132"/>
    <cfRule type="duplicateValues" dxfId="0" priority="10134"/>
    <cfRule type="duplicateValues" dxfId="0" priority="10136"/>
    <cfRule type="duplicateValues" dxfId="0" priority="10138"/>
    <cfRule type="duplicateValues" dxfId="0" priority="10140"/>
    <cfRule type="duplicateValues" dxfId="0" priority="10142"/>
    <cfRule type="duplicateValues" dxfId="0" priority="10144"/>
    <cfRule type="duplicateValues" dxfId="0" priority="10146"/>
  </conditionalFormatting>
  <conditionalFormatting sqref="J10">
    <cfRule type="duplicateValues" dxfId="0" priority="10066"/>
    <cfRule type="duplicateValues" dxfId="0" priority="10068"/>
    <cfRule type="duplicateValues" dxfId="0" priority="10070"/>
    <cfRule type="duplicateValues" dxfId="0" priority="10072"/>
    <cfRule type="duplicateValues" dxfId="0" priority="10074"/>
    <cfRule type="duplicateValues" dxfId="0" priority="10076"/>
    <cfRule type="duplicateValues" dxfId="0" priority="10078"/>
    <cfRule type="duplicateValues" dxfId="0" priority="10080"/>
    <cfRule type="duplicateValues" dxfId="0" priority="10082"/>
    <cfRule type="duplicateValues" dxfId="0" priority="10084"/>
    <cfRule type="duplicateValues" dxfId="0" priority="10086"/>
    <cfRule type="duplicateValues" dxfId="0" priority="10088"/>
    <cfRule type="duplicateValues" dxfId="0" priority="10090"/>
    <cfRule type="duplicateValues" dxfId="0" priority="10092"/>
    <cfRule type="duplicateValues" dxfId="0" priority="10094"/>
    <cfRule type="duplicateValues" dxfId="0" priority="10096"/>
    <cfRule type="duplicateValues" dxfId="0" priority="10098"/>
    <cfRule type="duplicateValues" dxfId="0" priority="10100"/>
    <cfRule type="duplicateValues" dxfId="0" priority="10102"/>
    <cfRule type="duplicateValues" dxfId="0" priority="10104"/>
  </conditionalFormatting>
  <conditionalFormatting sqref="L10">
    <cfRule type="duplicateValues" dxfId="0" priority="9986"/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</conditionalFormatting>
  <conditionalFormatting sqref="M10">
    <cfRule type="duplicateValues" dxfId="0" priority="10026"/>
    <cfRule type="duplicateValues" dxfId="0" priority="10028"/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</conditionalFormatting>
  <conditionalFormatting sqref="A11">
    <cfRule type="duplicateValues" dxfId="0" priority="10105"/>
  </conditionalFormatting>
  <conditionalFormatting sqref="H11">
    <cfRule type="duplicateValues" dxfId="0" priority="10107"/>
    <cfRule type="duplicateValues" dxfId="0" priority="10109"/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</conditionalFormatting>
  <conditionalFormatting sqref="J11">
    <cfRule type="duplicateValues" dxfId="0" priority="10065"/>
    <cfRule type="duplicateValues" dxfId="0" priority="10067"/>
    <cfRule type="duplicateValues" dxfId="0" priority="10069"/>
    <cfRule type="duplicateValues" dxfId="0" priority="10071"/>
    <cfRule type="duplicateValues" dxfId="0" priority="10073"/>
    <cfRule type="duplicateValues" dxfId="0" priority="10075"/>
    <cfRule type="duplicateValues" dxfId="0" priority="10077"/>
    <cfRule type="duplicateValues" dxfId="0" priority="10079"/>
    <cfRule type="duplicateValues" dxfId="0" priority="10081"/>
    <cfRule type="duplicateValues" dxfId="0" priority="10083"/>
    <cfRule type="duplicateValues" dxfId="0" priority="10085"/>
    <cfRule type="duplicateValues" dxfId="0" priority="10087"/>
    <cfRule type="duplicateValues" dxfId="0" priority="10089"/>
    <cfRule type="duplicateValues" dxfId="0" priority="10091"/>
    <cfRule type="duplicateValues" dxfId="0" priority="10093"/>
    <cfRule type="duplicateValues" dxfId="0" priority="10095"/>
    <cfRule type="duplicateValues" dxfId="0" priority="10097"/>
    <cfRule type="duplicateValues" dxfId="0" priority="10099"/>
    <cfRule type="duplicateValues" dxfId="0" priority="10101"/>
    <cfRule type="duplicateValues" dxfId="0" priority="10103"/>
  </conditionalFormatting>
  <conditionalFormatting sqref="L11">
    <cfRule type="duplicateValues" dxfId="0" priority="9985"/>
    <cfRule type="duplicateValues" dxfId="0" priority="9987"/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</conditionalFormatting>
  <conditionalFormatting sqref="M11">
    <cfRule type="duplicateValues" dxfId="0" priority="10025"/>
    <cfRule type="duplicateValues" dxfId="0" priority="10027"/>
    <cfRule type="duplicateValues" dxfId="0" priority="10029"/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</conditionalFormatting>
  <conditionalFormatting sqref="A12">
    <cfRule type="duplicateValues" dxfId="0" priority="9964"/>
  </conditionalFormatting>
  <conditionalFormatting sqref="H12">
    <cfRule type="duplicateValues" dxfId="0" priority="9965"/>
    <cfRule type="duplicateValues" dxfId="0" priority="9966"/>
    <cfRule type="duplicateValues" dxfId="0" priority="9967"/>
    <cfRule type="duplicateValues" dxfId="0" priority="9968"/>
    <cfRule type="duplicateValues" dxfId="0" priority="9969"/>
    <cfRule type="duplicateValues" dxfId="0" priority="9970"/>
    <cfRule type="duplicateValues" dxfId="0" priority="9971"/>
    <cfRule type="duplicateValues" dxfId="0" priority="9972"/>
    <cfRule type="duplicateValues" dxfId="0" priority="9973"/>
    <cfRule type="duplicateValues" dxfId="0" priority="9974"/>
    <cfRule type="duplicateValues" dxfId="0" priority="9975"/>
    <cfRule type="duplicateValues" dxfId="0" priority="9976"/>
    <cfRule type="duplicateValues" dxfId="0" priority="9977"/>
    <cfRule type="duplicateValues" dxfId="0" priority="9978"/>
    <cfRule type="duplicateValues" dxfId="0" priority="9979"/>
    <cfRule type="duplicateValues" dxfId="0" priority="9980"/>
    <cfRule type="duplicateValues" dxfId="0" priority="9981"/>
    <cfRule type="duplicateValues" dxfId="0" priority="9982"/>
    <cfRule type="duplicateValues" dxfId="0" priority="9983"/>
    <cfRule type="duplicateValues" dxfId="0" priority="9984"/>
  </conditionalFormatting>
  <conditionalFormatting sqref="J12">
    <cfRule type="duplicateValues" dxfId="0" priority="9944"/>
    <cfRule type="duplicateValues" dxfId="0" priority="9945"/>
    <cfRule type="duplicateValues" dxfId="0" priority="9946"/>
    <cfRule type="duplicateValues" dxfId="0" priority="9947"/>
    <cfRule type="duplicateValues" dxfId="0" priority="9948"/>
    <cfRule type="duplicateValues" dxfId="0" priority="9949"/>
    <cfRule type="duplicateValues" dxfId="0" priority="9950"/>
    <cfRule type="duplicateValues" dxfId="0" priority="9951"/>
    <cfRule type="duplicateValues" dxfId="0" priority="9952"/>
    <cfRule type="duplicateValues" dxfId="0" priority="9953"/>
    <cfRule type="duplicateValues" dxfId="0" priority="9954"/>
    <cfRule type="duplicateValues" dxfId="0" priority="9955"/>
    <cfRule type="duplicateValues" dxfId="0" priority="9956"/>
    <cfRule type="duplicateValues" dxfId="0" priority="9957"/>
    <cfRule type="duplicateValues" dxfId="0" priority="9958"/>
    <cfRule type="duplicateValues" dxfId="0" priority="9959"/>
    <cfRule type="duplicateValues" dxfId="0" priority="9960"/>
    <cfRule type="duplicateValues" dxfId="0" priority="9961"/>
    <cfRule type="duplicateValues" dxfId="0" priority="9962"/>
    <cfRule type="duplicateValues" dxfId="0" priority="9963"/>
  </conditionalFormatting>
  <conditionalFormatting sqref="L12">
    <cfRule type="duplicateValues" dxfId="0" priority="9904"/>
    <cfRule type="duplicateValues" dxfId="0" priority="9905"/>
    <cfRule type="duplicateValues" dxfId="0" priority="9906"/>
    <cfRule type="duplicateValues" dxfId="0" priority="9907"/>
    <cfRule type="duplicateValues" dxfId="0" priority="9908"/>
    <cfRule type="duplicateValues" dxfId="0" priority="9909"/>
    <cfRule type="duplicateValues" dxfId="0" priority="9910"/>
    <cfRule type="duplicateValues" dxfId="0" priority="9911"/>
    <cfRule type="duplicateValues" dxfId="0" priority="9912"/>
    <cfRule type="duplicateValues" dxfId="0" priority="9913"/>
    <cfRule type="duplicateValues" dxfId="0" priority="9914"/>
    <cfRule type="duplicateValues" dxfId="0" priority="9915"/>
    <cfRule type="duplicateValues" dxfId="0" priority="9916"/>
    <cfRule type="duplicateValues" dxfId="0" priority="9917"/>
    <cfRule type="duplicateValues" dxfId="0" priority="9918"/>
    <cfRule type="duplicateValues" dxfId="0" priority="9919"/>
    <cfRule type="duplicateValues" dxfId="0" priority="9920"/>
    <cfRule type="duplicateValues" dxfId="0" priority="9921"/>
    <cfRule type="duplicateValues" dxfId="0" priority="9922"/>
    <cfRule type="duplicateValues" dxfId="0" priority="9923"/>
  </conditionalFormatting>
  <conditionalFormatting sqref="M12">
    <cfRule type="duplicateValues" dxfId="0" priority="9924"/>
    <cfRule type="duplicateValues" dxfId="0" priority="9925"/>
    <cfRule type="duplicateValues" dxfId="0" priority="9926"/>
    <cfRule type="duplicateValues" dxfId="0" priority="9927"/>
    <cfRule type="duplicateValues" dxfId="0" priority="9928"/>
    <cfRule type="duplicateValues" dxfId="0" priority="9929"/>
    <cfRule type="duplicateValues" dxfId="0" priority="9930"/>
    <cfRule type="duplicateValues" dxfId="0" priority="9931"/>
    <cfRule type="duplicateValues" dxfId="0" priority="9932"/>
    <cfRule type="duplicateValues" dxfId="0" priority="9933"/>
    <cfRule type="duplicateValues" dxfId="0" priority="9934"/>
    <cfRule type="duplicateValues" dxfId="0" priority="9935"/>
    <cfRule type="duplicateValues" dxfId="0" priority="9936"/>
    <cfRule type="duplicateValues" dxfId="0" priority="9937"/>
    <cfRule type="duplicateValues" dxfId="0" priority="9938"/>
    <cfRule type="duplicateValues" dxfId="0" priority="9939"/>
    <cfRule type="duplicateValues" dxfId="0" priority="9940"/>
    <cfRule type="duplicateValues" dxfId="0" priority="9941"/>
    <cfRule type="duplicateValues" dxfId="0" priority="9942"/>
    <cfRule type="duplicateValues" dxfId="0" priority="9943"/>
  </conditionalFormatting>
  <conditionalFormatting sqref="A13">
    <cfRule type="duplicateValues" dxfId="0" priority="9702"/>
  </conditionalFormatting>
  <conditionalFormatting sqref="H13">
    <cfRule type="duplicateValues" dxfId="0" priority="9706"/>
    <cfRule type="duplicateValues" dxfId="0" priority="9710"/>
    <cfRule type="duplicateValues" dxfId="0" priority="9714"/>
    <cfRule type="duplicateValues" dxfId="0" priority="9718"/>
    <cfRule type="duplicateValues" dxfId="0" priority="9722"/>
    <cfRule type="duplicateValues" dxfId="0" priority="9726"/>
    <cfRule type="duplicateValues" dxfId="0" priority="9730"/>
    <cfRule type="duplicateValues" dxfId="0" priority="9734"/>
    <cfRule type="duplicateValues" dxfId="0" priority="9738"/>
    <cfRule type="duplicateValues" dxfId="0" priority="9742"/>
    <cfRule type="duplicateValues" dxfId="0" priority="9746"/>
    <cfRule type="duplicateValues" dxfId="0" priority="9750"/>
    <cfRule type="duplicateValues" dxfId="0" priority="9754"/>
    <cfRule type="duplicateValues" dxfId="0" priority="9758"/>
    <cfRule type="duplicateValues" dxfId="0" priority="9762"/>
    <cfRule type="duplicateValues" dxfId="0" priority="9766"/>
    <cfRule type="duplicateValues" dxfId="0" priority="9770"/>
    <cfRule type="duplicateValues" dxfId="0" priority="9774"/>
    <cfRule type="duplicateValues" dxfId="0" priority="9778"/>
    <cfRule type="duplicateValues" dxfId="0" priority="9782"/>
  </conditionalFormatting>
  <conditionalFormatting sqref="J13">
    <cfRule type="duplicateValues" dxfId="0" priority="9618"/>
    <cfRule type="duplicateValues" dxfId="0" priority="9622"/>
    <cfRule type="duplicateValues" dxfId="0" priority="9626"/>
    <cfRule type="duplicateValues" dxfId="0" priority="9630"/>
    <cfRule type="duplicateValues" dxfId="0" priority="9634"/>
    <cfRule type="duplicateValues" dxfId="0" priority="9638"/>
    <cfRule type="duplicateValues" dxfId="0" priority="9642"/>
    <cfRule type="duplicateValues" dxfId="0" priority="9646"/>
    <cfRule type="duplicateValues" dxfId="0" priority="9650"/>
    <cfRule type="duplicateValues" dxfId="0" priority="9654"/>
    <cfRule type="duplicateValues" dxfId="0" priority="9658"/>
    <cfRule type="duplicateValues" dxfId="0" priority="9662"/>
    <cfRule type="duplicateValues" dxfId="0" priority="9666"/>
    <cfRule type="duplicateValues" dxfId="0" priority="9670"/>
    <cfRule type="duplicateValues" dxfId="0" priority="9674"/>
    <cfRule type="duplicateValues" dxfId="0" priority="9678"/>
    <cfRule type="duplicateValues" dxfId="0" priority="9682"/>
    <cfRule type="duplicateValues" dxfId="0" priority="9686"/>
    <cfRule type="duplicateValues" dxfId="0" priority="9690"/>
    <cfRule type="duplicateValues" dxfId="0" priority="9694"/>
  </conditionalFormatting>
  <conditionalFormatting sqref="L13">
    <cfRule type="duplicateValues" dxfId="0" priority="9458"/>
    <cfRule type="duplicateValues" dxfId="0" priority="9462"/>
    <cfRule type="duplicateValues" dxfId="0" priority="9466"/>
    <cfRule type="duplicateValues" dxfId="0" priority="9470"/>
    <cfRule type="duplicateValues" dxfId="0" priority="9474"/>
    <cfRule type="duplicateValues" dxfId="0" priority="9478"/>
    <cfRule type="duplicateValues" dxfId="0" priority="9482"/>
    <cfRule type="duplicateValues" dxfId="0" priority="9486"/>
    <cfRule type="duplicateValues" dxfId="0" priority="9490"/>
    <cfRule type="duplicateValues" dxfId="0" priority="9494"/>
    <cfRule type="duplicateValues" dxfId="0" priority="9498"/>
    <cfRule type="duplicateValues" dxfId="0" priority="9502"/>
    <cfRule type="duplicateValues" dxfId="0" priority="9506"/>
    <cfRule type="duplicateValues" dxfId="0" priority="9510"/>
    <cfRule type="duplicateValues" dxfId="0" priority="9514"/>
    <cfRule type="duplicateValues" dxfId="0" priority="9518"/>
    <cfRule type="duplicateValues" dxfId="0" priority="9522"/>
    <cfRule type="duplicateValues" dxfId="0" priority="9526"/>
    <cfRule type="duplicateValues" dxfId="0" priority="9530"/>
    <cfRule type="duplicateValues" dxfId="0" priority="9534"/>
  </conditionalFormatting>
  <conditionalFormatting sqref="M13">
    <cfRule type="duplicateValues" dxfId="0" priority="9538"/>
    <cfRule type="duplicateValues" dxfId="0" priority="9542"/>
    <cfRule type="duplicateValues" dxfId="0" priority="9546"/>
    <cfRule type="duplicateValues" dxfId="0" priority="9550"/>
    <cfRule type="duplicateValues" dxfId="0" priority="9554"/>
    <cfRule type="duplicateValues" dxfId="0" priority="9558"/>
    <cfRule type="duplicateValues" dxfId="0" priority="9562"/>
    <cfRule type="duplicateValues" dxfId="0" priority="9566"/>
    <cfRule type="duplicateValues" dxfId="0" priority="9570"/>
    <cfRule type="duplicateValues" dxfId="0" priority="9574"/>
    <cfRule type="duplicateValues" dxfId="0" priority="9578"/>
    <cfRule type="duplicateValues" dxfId="0" priority="9582"/>
    <cfRule type="duplicateValues" dxfId="0" priority="9586"/>
    <cfRule type="duplicateValues" dxfId="0" priority="9590"/>
    <cfRule type="duplicateValues" dxfId="0" priority="9594"/>
    <cfRule type="duplicateValues" dxfId="0" priority="9598"/>
    <cfRule type="duplicateValues" dxfId="0" priority="9602"/>
    <cfRule type="duplicateValues" dxfId="0" priority="9606"/>
    <cfRule type="duplicateValues" dxfId="0" priority="9610"/>
    <cfRule type="duplicateValues" dxfId="0" priority="9614"/>
  </conditionalFormatting>
  <conditionalFormatting sqref="XEZ13">
    <cfRule type="duplicateValues" dxfId="0" priority="9701"/>
  </conditionalFormatting>
  <conditionalFormatting sqref="A14">
    <cfRule type="duplicateValues" dxfId="0" priority="9700"/>
  </conditionalFormatting>
  <conditionalFormatting sqref="H14">
    <cfRule type="duplicateValues" dxfId="0" priority="9705"/>
    <cfRule type="duplicateValues" dxfId="0" priority="9709"/>
    <cfRule type="duplicateValues" dxfId="0" priority="9713"/>
    <cfRule type="duplicateValues" dxfId="0" priority="9717"/>
    <cfRule type="duplicateValues" dxfId="0" priority="9721"/>
    <cfRule type="duplicateValues" dxfId="0" priority="9725"/>
    <cfRule type="duplicateValues" dxfId="0" priority="9729"/>
    <cfRule type="duplicateValues" dxfId="0" priority="9733"/>
    <cfRule type="duplicateValues" dxfId="0" priority="9737"/>
    <cfRule type="duplicateValues" dxfId="0" priority="9741"/>
    <cfRule type="duplicateValues" dxfId="0" priority="9745"/>
    <cfRule type="duplicateValues" dxfId="0" priority="9749"/>
    <cfRule type="duplicateValues" dxfId="0" priority="9753"/>
    <cfRule type="duplicateValues" dxfId="0" priority="9757"/>
    <cfRule type="duplicateValues" dxfId="0" priority="9761"/>
    <cfRule type="duplicateValues" dxfId="0" priority="9765"/>
    <cfRule type="duplicateValues" dxfId="0" priority="9769"/>
    <cfRule type="duplicateValues" dxfId="0" priority="9773"/>
    <cfRule type="duplicateValues" dxfId="0" priority="9777"/>
    <cfRule type="duplicateValues" dxfId="0" priority="9781"/>
  </conditionalFormatting>
  <conditionalFormatting sqref="J14">
    <cfRule type="duplicateValues" dxfId="0" priority="9617"/>
    <cfRule type="duplicateValues" dxfId="0" priority="9621"/>
    <cfRule type="duplicateValues" dxfId="0" priority="9625"/>
    <cfRule type="duplicateValues" dxfId="0" priority="9629"/>
    <cfRule type="duplicateValues" dxfId="0" priority="9633"/>
    <cfRule type="duplicateValues" dxfId="0" priority="9637"/>
    <cfRule type="duplicateValues" dxfId="0" priority="9641"/>
    <cfRule type="duplicateValues" dxfId="0" priority="9645"/>
    <cfRule type="duplicateValues" dxfId="0" priority="9649"/>
    <cfRule type="duplicateValues" dxfId="0" priority="9653"/>
    <cfRule type="duplicateValues" dxfId="0" priority="9657"/>
    <cfRule type="duplicateValues" dxfId="0" priority="9661"/>
    <cfRule type="duplicateValues" dxfId="0" priority="9665"/>
    <cfRule type="duplicateValues" dxfId="0" priority="9669"/>
    <cfRule type="duplicateValues" dxfId="0" priority="9673"/>
    <cfRule type="duplicateValues" dxfId="0" priority="9677"/>
    <cfRule type="duplicateValues" dxfId="0" priority="9681"/>
    <cfRule type="duplicateValues" dxfId="0" priority="9685"/>
    <cfRule type="duplicateValues" dxfId="0" priority="9689"/>
    <cfRule type="duplicateValues" dxfId="0" priority="9693"/>
  </conditionalFormatting>
  <conditionalFormatting sqref="L14">
    <cfRule type="duplicateValues" dxfId="0" priority="9457"/>
    <cfRule type="duplicateValues" dxfId="0" priority="9461"/>
    <cfRule type="duplicateValues" dxfId="0" priority="9465"/>
    <cfRule type="duplicateValues" dxfId="0" priority="9469"/>
    <cfRule type="duplicateValues" dxfId="0" priority="9473"/>
    <cfRule type="duplicateValues" dxfId="0" priority="9477"/>
    <cfRule type="duplicateValues" dxfId="0" priority="9481"/>
    <cfRule type="duplicateValues" dxfId="0" priority="9485"/>
    <cfRule type="duplicateValues" dxfId="0" priority="9489"/>
    <cfRule type="duplicateValues" dxfId="0" priority="9493"/>
    <cfRule type="duplicateValues" dxfId="0" priority="9497"/>
    <cfRule type="duplicateValues" dxfId="0" priority="9501"/>
    <cfRule type="duplicateValues" dxfId="0" priority="9505"/>
    <cfRule type="duplicateValues" dxfId="0" priority="9509"/>
    <cfRule type="duplicateValues" dxfId="0" priority="9513"/>
    <cfRule type="duplicateValues" dxfId="0" priority="9517"/>
    <cfRule type="duplicateValues" dxfId="0" priority="9521"/>
    <cfRule type="duplicateValues" dxfId="0" priority="9525"/>
    <cfRule type="duplicateValues" dxfId="0" priority="9529"/>
    <cfRule type="duplicateValues" dxfId="0" priority="9533"/>
  </conditionalFormatting>
  <conditionalFormatting sqref="M14">
    <cfRule type="duplicateValues" dxfId="0" priority="9537"/>
    <cfRule type="duplicateValues" dxfId="0" priority="9541"/>
    <cfRule type="duplicateValues" dxfId="0" priority="9545"/>
    <cfRule type="duplicateValues" dxfId="0" priority="9549"/>
    <cfRule type="duplicateValues" dxfId="0" priority="9553"/>
    <cfRule type="duplicateValues" dxfId="0" priority="9557"/>
    <cfRule type="duplicateValues" dxfId="0" priority="9561"/>
    <cfRule type="duplicateValues" dxfId="0" priority="9565"/>
    <cfRule type="duplicateValues" dxfId="0" priority="9569"/>
    <cfRule type="duplicateValues" dxfId="0" priority="9573"/>
    <cfRule type="duplicateValues" dxfId="0" priority="9577"/>
    <cfRule type="duplicateValues" dxfId="0" priority="9581"/>
    <cfRule type="duplicateValues" dxfId="0" priority="9585"/>
    <cfRule type="duplicateValues" dxfId="0" priority="9589"/>
    <cfRule type="duplicateValues" dxfId="0" priority="9593"/>
    <cfRule type="duplicateValues" dxfId="0" priority="9597"/>
    <cfRule type="duplicateValues" dxfId="0" priority="9601"/>
    <cfRule type="duplicateValues" dxfId="0" priority="9605"/>
    <cfRule type="duplicateValues" dxfId="0" priority="9609"/>
    <cfRule type="duplicateValues" dxfId="0" priority="9613"/>
  </conditionalFormatting>
  <conditionalFormatting sqref="XEZ14">
    <cfRule type="duplicateValues" dxfId="0" priority="9699"/>
  </conditionalFormatting>
  <conditionalFormatting sqref="A15">
    <cfRule type="duplicateValues" dxfId="0" priority="9696"/>
  </conditionalFormatting>
  <conditionalFormatting sqref="H15">
    <cfRule type="duplicateValues" dxfId="0" priority="9703"/>
    <cfRule type="duplicateValues" dxfId="0" priority="9707"/>
    <cfRule type="duplicateValues" dxfId="0" priority="9711"/>
    <cfRule type="duplicateValues" dxfId="0" priority="9715"/>
    <cfRule type="duplicateValues" dxfId="0" priority="9719"/>
    <cfRule type="duplicateValues" dxfId="0" priority="9723"/>
    <cfRule type="duplicateValues" dxfId="0" priority="9727"/>
    <cfRule type="duplicateValues" dxfId="0" priority="9731"/>
    <cfRule type="duplicateValues" dxfId="0" priority="9735"/>
    <cfRule type="duplicateValues" dxfId="0" priority="9739"/>
    <cfRule type="duplicateValues" dxfId="0" priority="9743"/>
    <cfRule type="duplicateValues" dxfId="0" priority="9747"/>
    <cfRule type="duplicateValues" dxfId="0" priority="9751"/>
    <cfRule type="duplicateValues" dxfId="0" priority="9755"/>
    <cfRule type="duplicateValues" dxfId="0" priority="9759"/>
    <cfRule type="duplicateValues" dxfId="0" priority="9763"/>
    <cfRule type="duplicateValues" dxfId="0" priority="9767"/>
    <cfRule type="duplicateValues" dxfId="0" priority="9771"/>
    <cfRule type="duplicateValues" dxfId="0" priority="9775"/>
    <cfRule type="duplicateValues" dxfId="0" priority="9779"/>
  </conditionalFormatting>
  <conditionalFormatting sqref="J15">
    <cfRule type="duplicateValues" dxfId="0" priority="9615"/>
    <cfRule type="duplicateValues" dxfId="0" priority="9619"/>
    <cfRule type="duplicateValues" dxfId="0" priority="9623"/>
    <cfRule type="duplicateValues" dxfId="0" priority="9627"/>
    <cfRule type="duplicateValues" dxfId="0" priority="9631"/>
    <cfRule type="duplicateValues" dxfId="0" priority="9635"/>
    <cfRule type="duplicateValues" dxfId="0" priority="9639"/>
    <cfRule type="duplicateValues" dxfId="0" priority="9643"/>
    <cfRule type="duplicateValues" dxfId="0" priority="9647"/>
    <cfRule type="duplicateValues" dxfId="0" priority="9651"/>
    <cfRule type="duplicateValues" dxfId="0" priority="9655"/>
    <cfRule type="duplicateValues" dxfId="0" priority="9659"/>
    <cfRule type="duplicateValues" dxfId="0" priority="9663"/>
    <cfRule type="duplicateValues" dxfId="0" priority="9667"/>
    <cfRule type="duplicateValues" dxfId="0" priority="9671"/>
    <cfRule type="duplicateValues" dxfId="0" priority="9675"/>
    <cfRule type="duplicateValues" dxfId="0" priority="9679"/>
    <cfRule type="duplicateValues" dxfId="0" priority="9683"/>
    <cfRule type="duplicateValues" dxfId="0" priority="9687"/>
    <cfRule type="duplicateValues" dxfId="0" priority="9691"/>
  </conditionalFormatting>
  <conditionalFormatting sqref="L15">
    <cfRule type="duplicateValues" dxfId="0" priority="9455"/>
    <cfRule type="duplicateValues" dxfId="0" priority="9459"/>
    <cfRule type="duplicateValues" dxfId="0" priority="9463"/>
    <cfRule type="duplicateValues" dxfId="0" priority="9467"/>
    <cfRule type="duplicateValues" dxfId="0" priority="9471"/>
    <cfRule type="duplicateValues" dxfId="0" priority="9475"/>
    <cfRule type="duplicateValues" dxfId="0" priority="9479"/>
    <cfRule type="duplicateValues" dxfId="0" priority="9483"/>
    <cfRule type="duplicateValues" dxfId="0" priority="9487"/>
    <cfRule type="duplicateValues" dxfId="0" priority="9491"/>
    <cfRule type="duplicateValues" dxfId="0" priority="9495"/>
    <cfRule type="duplicateValues" dxfId="0" priority="9499"/>
    <cfRule type="duplicateValues" dxfId="0" priority="9503"/>
    <cfRule type="duplicateValues" dxfId="0" priority="9507"/>
    <cfRule type="duplicateValues" dxfId="0" priority="9511"/>
    <cfRule type="duplicateValues" dxfId="0" priority="9515"/>
    <cfRule type="duplicateValues" dxfId="0" priority="9519"/>
    <cfRule type="duplicateValues" dxfId="0" priority="9523"/>
    <cfRule type="duplicateValues" dxfId="0" priority="9527"/>
    <cfRule type="duplicateValues" dxfId="0" priority="9531"/>
  </conditionalFormatting>
  <conditionalFormatting sqref="M15">
    <cfRule type="duplicateValues" dxfId="0" priority="9535"/>
    <cfRule type="duplicateValues" dxfId="0" priority="9539"/>
    <cfRule type="duplicateValues" dxfId="0" priority="9543"/>
    <cfRule type="duplicateValues" dxfId="0" priority="9547"/>
    <cfRule type="duplicateValues" dxfId="0" priority="9551"/>
    <cfRule type="duplicateValues" dxfId="0" priority="9555"/>
    <cfRule type="duplicateValues" dxfId="0" priority="9559"/>
    <cfRule type="duplicateValues" dxfId="0" priority="9563"/>
    <cfRule type="duplicateValues" dxfId="0" priority="9567"/>
    <cfRule type="duplicateValues" dxfId="0" priority="9571"/>
    <cfRule type="duplicateValues" dxfId="0" priority="9575"/>
    <cfRule type="duplicateValues" dxfId="0" priority="9579"/>
    <cfRule type="duplicateValues" dxfId="0" priority="9583"/>
    <cfRule type="duplicateValues" dxfId="0" priority="9587"/>
    <cfRule type="duplicateValues" dxfId="0" priority="9591"/>
    <cfRule type="duplicateValues" dxfId="0" priority="9595"/>
    <cfRule type="duplicateValues" dxfId="0" priority="9599"/>
    <cfRule type="duplicateValues" dxfId="0" priority="9603"/>
    <cfRule type="duplicateValues" dxfId="0" priority="9607"/>
    <cfRule type="duplicateValues" dxfId="0" priority="9611"/>
  </conditionalFormatting>
  <conditionalFormatting sqref="XEZ15">
    <cfRule type="duplicateValues" dxfId="0" priority="9695"/>
  </conditionalFormatting>
  <conditionalFormatting sqref="A16">
    <cfRule type="duplicateValues" dxfId="0" priority="9434"/>
  </conditionalFormatting>
  <conditionalFormatting sqref="H16">
    <cfRule type="duplicateValues" dxfId="0" priority="9435"/>
    <cfRule type="duplicateValues" dxfId="0" priority="9436"/>
    <cfRule type="duplicateValues" dxfId="0" priority="9437"/>
    <cfRule type="duplicateValues" dxfId="0" priority="9438"/>
    <cfRule type="duplicateValues" dxfId="0" priority="9439"/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</conditionalFormatting>
  <conditionalFormatting sqref="J16"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</conditionalFormatting>
  <conditionalFormatting sqref="L16"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</conditionalFormatting>
  <conditionalFormatting sqref="M16"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</conditionalFormatting>
  <conditionalFormatting sqref="XEZ16">
    <cfRule type="duplicateValues" dxfId="0" priority="9433"/>
  </conditionalFormatting>
  <conditionalFormatting sqref="A17">
    <cfRule type="duplicateValues" dxfId="0" priority="8992"/>
  </conditionalFormatting>
  <conditionalFormatting sqref="H17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7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7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7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7">
    <cfRule type="duplicateValues" dxfId="0" priority="8977"/>
  </conditionalFormatting>
  <conditionalFormatting sqref="A18">
    <cfRule type="duplicateValues" dxfId="0" priority="8991"/>
  </conditionalFormatting>
  <conditionalFormatting sqref="H18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8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8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8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8">
    <cfRule type="duplicateValues" dxfId="0" priority="8976"/>
  </conditionalFormatting>
  <conditionalFormatting sqref="A19">
    <cfRule type="duplicateValues" dxfId="0" priority="8990"/>
  </conditionalFormatting>
  <conditionalFormatting sqref="H19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19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19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19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19">
    <cfRule type="duplicateValues" dxfId="0" priority="8975"/>
  </conditionalFormatting>
  <conditionalFormatting sqref="A20">
    <cfRule type="duplicateValues" dxfId="0" priority="8989"/>
  </conditionalFormatting>
  <conditionalFormatting sqref="H20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20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20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20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20">
    <cfRule type="duplicateValues" dxfId="0" priority="8974"/>
  </conditionalFormatting>
  <conditionalFormatting sqref="A21">
    <cfRule type="duplicateValues" dxfId="0" priority="8988"/>
  </conditionalFormatting>
  <conditionalFormatting sqref="H21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21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21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21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21">
    <cfRule type="duplicateValues" dxfId="0" priority="8973"/>
  </conditionalFormatting>
  <conditionalFormatting sqref="A22">
    <cfRule type="duplicateValues" dxfId="0" priority="8987"/>
  </conditionalFormatting>
  <conditionalFormatting sqref="H22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22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22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22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22">
    <cfRule type="duplicateValues" dxfId="0" priority="8972"/>
  </conditionalFormatting>
  <conditionalFormatting sqref="A23">
    <cfRule type="duplicateValues" dxfId="0" priority="8986"/>
  </conditionalFormatting>
  <conditionalFormatting sqref="H23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23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23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23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23">
    <cfRule type="duplicateValues" dxfId="0" priority="8971"/>
  </conditionalFormatting>
  <conditionalFormatting sqref="A24">
    <cfRule type="duplicateValues" dxfId="0" priority="8985"/>
  </conditionalFormatting>
  <conditionalFormatting sqref="H24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4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4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4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4">
    <cfRule type="duplicateValues" dxfId="0" priority="8970"/>
  </conditionalFormatting>
  <conditionalFormatting sqref="A25">
    <cfRule type="duplicateValues" dxfId="0" priority="8984"/>
  </conditionalFormatting>
  <conditionalFormatting sqref="H25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5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5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5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5">
    <cfRule type="duplicateValues" dxfId="0" priority="8969"/>
  </conditionalFormatting>
  <conditionalFormatting sqref="A26">
    <cfRule type="duplicateValues" dxfId="0" priority="8983"/>
  </conditionalFormatting>
  <conditionalFormatting sqref="H26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26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26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26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26">
    <cfRule type="duplicateValues" dxfId="0" priority="8968"/>
  </conditionalFormatting>
  <conditionalFormatting sqref="A27">
    <cfRule type="duplicateValues" dxfId="0" priority="8982"/>
  </conditionalFormatting>
  <conditionalFormatting sqref="H27">
    <cfRule type="duplicateValues" dxfId="0" priority="8997"/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</conditionalFormatting>
  <conditionalFormatting sqref="J27">
    <cfRule type="duplicateValues" dxfId="0" priority="8667"/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</conditionalFormatting>
  <conditionalFormatting sqref="L27"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</conditionalFormatting>
  <conditionalFormatting sqref="M27"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</conditionalFormatting>
  <conditionalFormatting sqref="XEZ27">
    <cfRule type="duplicateValues" dxfId="0" priority="8967"/>
  </conditionalFormatting>
  <conditionalFormatting sqref="A28">
    <cfRule type="duplicateValues" dxfId="0" priority="8981"/>
  </conditionalFormatting>
  <conditionalFormatting sqref="H28">
    <cfRule type="duplicateValues" dxfId="0" priority="8996"/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</conditionalFormatting>
  <conditionalFormatting sqref="J28">
    <cfRule type="duplicateValues" dxfId="0" priority="8666"/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</conditionalFormatting>
  <conditionalFormatting sqref="L28">
    <cfRule type="duplicateValues" dxfId="0" priority="8066"/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</conditionalFormatting>
  <conditionalFormatting sqref="M28">
    <cfRule type="duplicateValues" dxfId="0" priority="8366"/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</conditionalFormatting>
  <conditionalFormatting sqref="XEZ28">
    <cfRule type="duplicateValues" dxfId="0" priority="8966"/>
  </conditionalFormatting>
  <conditionalFormatting sqref="A29">
    <cfRule type="duplicateValues" dxfId="0" priority="8980"/>
  </conditionalFormatting>
  <conditionalFormatting sqref="H29">
    <cfRule type="duplicateValues" dxfId="0" priority="8995"/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</conditionalFormatting>
  <conditionalFormatting sqref="J29">
    <cfRule type="duplicateValues" dxfId="0" priority="8665"/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</conditionalFormatting>
  <conditionalFormatting sqref="L29">
    <cfRule type="duplicateValues" dxfId="0" priority="8065"/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</conditionalFormatting>
  <conditionalFormatting sqref="M29">
    <cfRule type="duplicateValues" dxfId="0" priority="8365"/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</conditionalFormatting>
  <conditionalFormatting sqref="XEZ29">
    <cfRule type="duplicateValues" dxfId="0" priority="8965"/>
  </conditionalFormatting>
  <conditionalFormatting sqref="A30">
    <cfRule type="duplicateValues" dxfId="0" priority="7435"/>
  </conditionalFormatting>
  <conditionalFormatting sqref="H30">
    <cfRule type="duplicateValues" dxfId="0" priority="7438"/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</conditionalFormatting>
  <conditionalFormatting sqref="J30">
    <cfRule type="duplicateValues" dxfId="0" priority="7373"/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</conditionalFormatting>
  <conditionalFormatting sqref="L30">
    <cfRule type="duplicateValues" dxfId="0" priority="7253"/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</conditionalFormatting>
  <conditionalFormatting sqref="M30">
    <cfRule type="duplicateValues" dxfId="0" priority="7313"/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</conditionalFormatting>
  <conditionalFormatting sqref="XEZ30">
    <cfRule type="duplicateValues" dxfId="0" priority="7433"/>
  </conditionalFormatting>
  <conditionalFormatting sqref="A31">
    <cfRule type="duplicateValues" dxfId="0" priority="7434"/>
  </conditionalFormatting>
  <conditionalFormatting sqref="H31">
    <cfRule type="duplicateValues" dxfId="0" priority="7437"/>
    <cfRule type="duplicateValues" dxfId="0" priority="7440"/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</conditionalFormatting>
  <conditionalFormatting sqref="J31">
    <cfRule type="duplicateValues" dxfId="0" priority="7372"/>
    <cfRule type="duplicateValues" dxfId="0" priority="7375"/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</conditionalFormatting>
  <conditionalFormatting sqref="L31">
    <cfRule type="duplicateValues" dxfId="0" priority="7252"/>
    <cfRule type="duplicateValues" dxfId="0" priority="7255"/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</conditionalFormatting>
  <conditionalFormatting sqref="M31">
    <cfRule type="duplicateValues" dxfId="0" priority="7312"/>
    <cfRule type="duplicateValues" dxfId="0" priority="7315"/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</conditionalFormatting>
  <conditionalFormatting sqref="XEZ31">
    <cfRule type="duplicateValues" dxfId="0" priority="7432"/>
  </conditionalFormatting>
  <conditionalFormatting sqref="A32">
    <cfRule type="duplicateValues" dxfId="0" priority="7250"/>
  </conditionalFormatting>
  <conditionalFormatting sqref="H32">
    <cfRule type="duplicateValues" dxfId="0" priority="7436"/>
    <cfRule type="duplicateValues" dxfId="0" priority="7439"/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</conditionalFormatting>
  <conditionalFormatting sqref="J32">
    <cfRule type="duplicateValues" dxfId="0" priority="7371"/>
    <cfRule type="duplicateValues" dxfId="0" priority="7374"/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</conditionalFormatting>
  <conditionalFormatting sqref="L32">
    <cfRule type="duplicateValues" dxfId="0" priority="7251"/>
    <cfRule type="duplicateValues" dxfId="0" priority="7254"/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</conditionalFormatting>
  <conditionalFormatting sqref="M32">
    <cfRule type="duplicateValues" dxfId="0" priority="7311"/>
    <cfRule type="duplicateValues" dxfId="0" priority="7314"/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</conditionalFormatting>
  <conditionalFormatting sqref="XEZ32">
    <cfRule type="duplicateValues" dxfId="0" priority="7431"/>
  </conditionalFormatting>
  <conditionalFormatting sqref="A33">
    <cfRule type="duplicateValues" dxfId="0" priority="8979"/>
  </conditionalFormatting>
  <conditionalFormatting sqref="H33">
    <cfRule type="duplicateValues" dxfId="0" priority="8994"/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</conditionalFormatting>
  <conditionalFormatting sqref="J33">
    <cfRule type="duplicateValues" dxfId="0" priority="8664"/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</conditionalFormatting>
  <conditionalFormatting sqref="L33">
    <cfRule type="duplicateValues" dxfId="0" priority="8064"/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</conditionalFormatting>
  <conditionalFormatting sqref="M33">
    <cfRule type="duplicateValues" dxfId="0" priority="8364"/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</conditionalFormatting>
  <conditionalFormatting sqref="XEZ33">
    <cfRule type="duplicateValues" dxfId="0" priority="8964"/>
  </conditionalFormatting>
  <conditionalFormatting sqref="A34">
    <cfRule type="duplicateValues" dxfId="0" priority="8978"/>
  </conditionalFormatting>
  <conditionalFormatting sqref="H34">
    <cfRule type="duplicateValues" dxfId="0" priority="8993"/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</conditionalFormatting>
  <conditionalFormatting sqref="J34">
    <cfRule type="duplicateValues" dxfId="0" priority="8663"/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</conditionalFormatting>
  <conditionalFormatting sqref="L34">
    <cfRule type="duplicateValues" dxfId="0" priority="8063"/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</conditionalFormatting>
  <conditionalFormatting sqref="M34">
    <cfRule type="duplicateValues" dxfId="0" priority="8363"/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</conditionalFormatting>
  <conditionalFormatting sqref="XEZ34">
    <cfRule type="duplicateValues" dxfId="0" priority="8963"/>
  </conditionalFormatting>
  <conditionalFormatting sqref="H35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5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5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5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5">
    <cfRule type="duplicateValues" dxfId="0" priority="7922"/>
  </conditionalFormatting>
  <conditionalFormatting sqref="H36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6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6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6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6">
    <cfRule type="duplicateValues" dxfId="0" priority="7921"/>
  </conditionalFormatting>
  <conditionalFormatting sqref="H37"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</conditionalFormatting>
  <conditionalFormatting sqref="J37"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</conditionalFormatting>
  <conditionalFormatting sqref="L37">
    <cfRule type="duplicateValues" dxfId="0" priority="7500"/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</conditionalFormatting>
  <conditionalFormatting sqref="M37"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</conditionalFormatting>
  <conditionalFormatting sqref="XEZ37">
    <cfRule type="duplicateValues" dxfId="0" priority="7920"/>
  </conditionalFormatting>
  <conditionalFormatting sqref="H38"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</conditionalFormatting>
  <conditionalFormatting sqref="J38"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</conditionalFormatting>
  <conditionalFormatting sqref="L38">
    <cfRule type="duplicateValues" dxfId="0" priority="7499"/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</conditionalFormatting>
  <conditionalFormatting sqref="M38"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</conditionalFormatting>
  <conditionalFormatting sqref="XEZ38">
    <cfRule type="duplicateValues" dxfId="0" priority="7919"/>
  </conditionalFormatting>
  <conditionalFormatting sqref="H39">
    <cfRule type="duplicateValues" dxfId="0" priority="7925"/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</conditionalFormatting>
  <conditionalFormatting sqref="J39">
    <cfRule type="duplicateValues" dxfId="0" priority="7778"/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</conditionalFormatting>
  <conditionalFormatting sqref="L39">
    <cfRule type="duplicateValues" dxfId="0" priority="7498"/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</conditionalFormatting>
  <conditionalFormatting sqref="M39">
    <cfRule type="duplicateValues" dxfId="0" priority="7638"/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</conditionalFormatting>
  <conditionalFormatting sqref="XEZ39">
    <cfRule type="duplicateValues" dxfId="0" priority="7918"/>
  </conditionalFormatting>
  <conditionalFormatting sqref="H40">
    <cfRule type="duplicateValues" dxfId="0" priority="7924"/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</conditionalFormatting>
  <conditionalFormatting sqref="J40">
    <cfRule type="duplicateValues" dxfId="0" priority="7777"/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</conditionalFormatting>
  <conditionalFormatting sqref="L40">
    <cfRule type="duplicateValues" dxfId="0" priority="7497"/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</conditionalFormatting>
  <conditionalFormatting sqref="M40">
    <cfRule type="duplicateValues" dxfId="0" priority="7637"/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</conditionalFormatting>
  <conditionalFormatting sqref="XEZ40">
    <cfRule type="duplicateValues" dxfId="0" priority="7917"/>
  </conditionalFormatting>
  <conditionalFormatting sqref="H41">
    <cfRule type="duplicateValues" dxfId="0" priority="7923"/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</conditionalFormatting>
  <conditionalFormatting sqref="J41">
    <cfRule type="duplicateValues" dxfId="0" priority="7776"/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</conditionalFormatting>
  <conditionalFormatting sqref="L41">
    <cfRule type="duplicateValues" dxfId="0" priority="7496"/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</conditionalFormatting>
  <conditionalFormatting sqref="M41">
    <cfRule type="duplicateValues" dxfId="0" priority="7636"/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</conditionalFormatting>
  <conditionalFormatting sqref="XEZ41">
    <cfRule type="duplicateValues" dxfId="0" priority="7916"/>
  </conditionalFormatting>
  <conditionalFormatting sqref="H42">
    <cfRule type="duplicateValues" dxfId="0" priority="7154"/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</conditionalFormatting>
  <conditionalFormatting sqref="J42">
    <cfRule type="duplicateValues" dxfId="0" priority="7049"/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</conditionalFormatting>
  <conditionalFormatting sqref="L42">
    <cfRule type="duplicateValues" dxfId="0" priority="6849"/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</conditionalFormatting>
  <conditionalFormatting sqref="M42">
    <cfRule type="duplicateValues" dxfId="0" priority="6949"/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</conditionalFormatting>
  <conditionalFormatting sqref="XEZ42">
    <cfRule type="duplicateValues" dxfId="0" priority="7149"/>
  </conditionalFormatting>
  <conditionalFormatting sqref="H43">
    <cfRule type="duplicateValues" dxfId="0" priority="7153"/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</conditionalFormatting>
  <conditionalFormatting sqref="J43">
    <cfRule type="duplicateValues" dxfId="0" priority="7048"/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</conditionalFormatting>
  <conditionalFormatting sqref="L43">
    <cfRule type="duplicateValues" dxfId="0" priority="6848"/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</conditionalFormatting>
  <conditionalFormatting sqref="M43">
    <cfRule type="duplicateValues" dxfId="0" priority="6948"/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</conditionalFormatting>
  <conditionalFormatting sqref="XEZ43">
    <cfRule type="duplicateValues" dxfId="0" priority="7148"/>
  </conditionalFormatting>
  <conditionalFormatting sqref="H44">
    <cfRule type="duplicateValues" dxfId="0" priority="7152"/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</conditionalFormatting>
  <conditionalFormatting sqref="J44">
    <cfRule type="duplicateValues" dxfId="0" priority="7047"/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</conditionalFormatting>
  <conditionalFormatting sqref="L44">
    <cfRule type="duplicateValues" dxfId="0" priority="6847"/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</conditionalFormatting>
  <conditionalFormatting sqref="M44">
    <cfRule type="duplicateValues" dxfId="0" priority="6947"/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</conditionalFormatting>
  <conditionalFormatting sqref="XEZ44">
    <cfRule type="duplicateValues" dxfId="0" priority="7147"/>
  </conditionalFormatting>
  <conditionalFormatting sqref="H45">
    <cfRule type="duplicateValues" dxfId="0" priority="7151"/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</conditionalFormatting>
  <conditionalFormatting sqref="J45">
    <cfRule type="duplicateValues" dxfId="0" priority="7046"/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</conditionalFormatting>
  <conditionalFormatting sqref="L45">
    <cfRule type="duplicateValues" dxfId="0" priority="6846"/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</conditionalFormatting>
  <conditionalFormatting sqref="M45">
    <cfRule type="duplicateValues" dxfId="0" priority="6946"/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</conditionalFormatting>
  <conditionalFormatting sqref="XEZ45">
    <cfRule type="duplicateValues" dxfId="0" priority="7146"/>
  </conditionalFormatting>
  <conditionalFormatting sqref="H46">
    <cfRule type="duplicateValues" dxfId="0" priority="7150"/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</conditionalFormatting>
  <conditionalFormatting sqref="J46">
    <cfRule type="duplicateValues" dxfId="0" priority="7045"/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</conditionalFormatting>
  <conditionalFormatting sqref="L46">
    <cfRule type="duplicateValues" dxfId="0" priority="6845"/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</conditionalFormatting>
  <conditionalFormatting sqref="M46">
    <cfRule type="duplicateValues" dxfId="0" priority="6945"/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</conditionalFormatting>
  <conditionalFormatting sqref="XEZ46">
    <cfRule type="duplicateValues" dxfId="0" priority="7145"/>
  </conditionalFormatting>
  <conditionalFormatting sqref="H47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7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7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7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7">
    <cfRule type="duplicateValues" dxfId="0" priority="6544"/>
  </conditionalFormatting>
  <conditionalFormatting sqref="H48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8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8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8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8">
    <cfRule type="duplicateValues" dxfId="0" priority="6543"/>
  </conditionalFormatting>
  <conditionalFormatting sqref="H49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49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49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49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49">
    <cfRule type="duplicateValues" dxfId="0" priority="6542"/>
  </conditionalFormatting>
  <conditionalFormatting sqref="H50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50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50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50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50">
    <cfRule type="duplicateValues" dxfId="0" priority="6541"/>
  </conditionalFormatting>
  <conditionalFormatting sqref="H51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51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51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51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51">
    <cfRule type="duplicateValues" dxfId="0" priority="6540"/>
  </conditionalFormatting>
  <conditionalFormatting sqref="H52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52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52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52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52">
    <cfRule type="duplicateValues" dxfId="0" priority="6539"/>
  </conditionalFormatting>
  <conditionalFormatting sqref="H53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53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53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53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53">
    <cfRule type="duplicateValues" dxfId="0" priority="6538"/>
  </conditionalFormatting>
  <conditionalFormatting sqref="H54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4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4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4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4">
    <cfRule type="duplicateValues" dxfId="0" priority="6537"/>
  </conditionalFormatting>
  <conditionalFormatting sqref="H55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5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5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5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5">
    <cfRule type="duplicateValues" dxfId="0" priority="6536"/>
  </conditionalFormatting>
  <conditionalFormatting sqref="H56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6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6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6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6">
    <cfRule type="duplicateValues" dxfId="0" priority="6535"/>
  </conditionalFormatting>
  <conditionalFormatting sqref="H57">
    <cfRule type="duplicateValues" dxfId="0" priority="6549"/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</conditionalFormatting>
  <conditionalFormatting sqref="J57">
    <cfRule type="duplicateValues" dxfId="0" priority="6234"/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</conditionalFormatting>
  <conditionalFormatting sqref="L57">
    <cfRule type="duplicateValues" dxfId="0" priority="5934"/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</conditionalFormatting>
  <conditionalFormatting sqref="M57">
    <cfRule type="duplicateValues" dxfId="0" priority="5634"/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</conditionalFormatting>
  <conditionalFormatting sqref="XEZ57">
    <cfRule type="duplicateValues" dxfId="0" priority="6534"/>
  </conditionalFormatting>
  <conditionalFormatting sqref="H58">
    <cfRule type="duplicateValues" dxfId="0" priority="6548"/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</conditionalFormatting>
  <conditionalFormatting sqref="J58">
    <cfRule type="duplicateValues" dxfId="0" priority="6233"/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</conditionalFormatting>
  <conditionalFormatting sqref="L58">
    <cfRule type="duplicateValues" dxfId="0" priority="5933"/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</conditionalFormatting>
  <conditionalFormatting sqref="M58">
    <cfRule type="duplicateValues" dxfId="0" priority="5633"/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</conditionalFormatting>
  <conditionalFormatting sqref="XEZ58">
    <cfRule type="duplicateValues" dxfId="0" priority="6533"/>
  </conditionalFormatting>
  <conditionalFormatting sqref="H59">
    <cfRule type="duplicateValues" dxfId="0" priority="6547"/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</conditionalFormatting>
  <conditionalFormatting sqref="J59">
    <cfRule type="duplicateValues" dxfId="0" priority="6232"/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</conditionalFormatting>
  <conditionalFormatting sqref="L59">
    <cfRule type="duplicateValues" dxfId="0" priority="5932"/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</conditionalFormatting>
  <conditionalFormatting sqref="M59">
    <cfRule type="duplicateValues" dxfId="0" priority="5632"/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</conditionalFormatting>
  <conditionalFormatting sqref="XEZ59">
    <cfRule type="duplicateValues" dxfId="0" priority="6532"/>
  </conditionalFormatting>
  <conditionalFormatting sqref="H60">
    <cfRule type="duplicateValues" dxfId="0" priority="6546"/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</conditionalFormatting>
  <conditionalFormatting sqref="J60">
    <cfRule type="duplicateValues" dxfId="0" priority="6231"/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</conditionalFormatting>
  <conditionalFormatting sqref="L60">
    <cfRule type="duplicateValues" dxfId="0" priority="5931"/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</conditionalFormatting>
  <conditionalFormatting sqref="M60">
    <cfRule type="duplicateValues" dxfId="0" priority="5631"/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</conditionalFormatting>
  <conditionalFormatting sqref="XEZ60">
    <cfRule type="duplicateValues" dxfId="0" priority="6531"/>
  </conditionalFormatting>
  <conditionalFormatting sqref="H61">
    <cfRule type="duplicateValues" dxfId="0" priority="6545"/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</conditionalFormatting>
  <conditionalFormatting sqref="J61">
    <cfRule type="duplicateValues" dxfId="0" priority="6230"/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</conditionalFormatting>
  <conditionalFormatting sqref="L61">
    <cfRule type="duplicateValues" dxfId="0" priority="5930"/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</conditionalFormatting>
  <conditionalFormatting sqref="M61">
    <cfRule type="duplicateValues" dxfId="0" priority="5630"/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</conditionalFormatting>
  <conditionalFormatting sqref="XEZ61">
    <cfRule type="duplicateValues" dxfId="0" priority="6530"/>
  </conditionalFormatting>
  <conditionalFormatting sqref="H62"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  <cfRule type="duplicateValues" dxfId="0" priority="5607"/>
    <cfRule type="duplicateValues" dxfId="0" priority="5609"/>
    <cfRule type="duplicateValues" dxfId="0" priority="5611"/>
    <cfRule type="duplicateValues" dxfId="0" priority="5613"/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</conditionalFormatting>
  <conditionalFormatting sqref="J62"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</conditionalFormatting>
  <conditionalFormatting sqref="K62">
    <cfRule type="duplicateValues" dxfId="0" priority="5507"/>
    <cfRule type="duplicateValues" dxfId="0" priority="5509"/>
    <cfRule type="duplicateValues" dxfId="0" priority="5511"/>
    <cfRule type="duplicateValues" dxfId="0" priority="5513"/>
    <cfRule type="duplicateValues" dxfId="0" priority="5515"/>
    <cfRule type="duplicateValues" dxfId="0" priority="5517"/>
    <cfRule type="duplicateValues" dxfId="0" priority="5519"/>
    <cfRule type="duplicateValues" dxfId="0" priority="5521"/>
    <cfRule type="duplicateValues" dxfId="0" priority="5523"/>
    <cfRule type="duplicateValues" dxfId="0" priority="5525"/>
    <cfRule type="duplicateValues" dxfId="0" priority="5527"/>
    <cfRule type="duplicateValues" dxfId="0" priority="5529"/>
    <cfRule type="duplicateValues" dxfId="0" priority="5531"/>
    <cfRule type="duplicateValues" dxfId="0" priority="5533"/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</conditionalFormatting>
  <conditionalFormatting sqref="L62">
    <cfRule type="duplicateValues" dxfId="0" priority="5467"/>
    <cfRule type="duplicateValues" dxfId="0" priority="5469"/>
    <cfRule type="duplicateValues" dxfId="0" priority="5471"/>
    <cfRule type="duplicateValues" dxfId="0" priority="5473"/>
    <cfRule type="duplicateValues" dxfId="0" priority="5475"/>
    <cfRule type="duplicateValues" dxfId="0" priority="5477"/>
    <cfRule type="duplicateValues" dxfId="0" priority="5479"/>
    <cfRule type="duplicateValues" dxfId="0" priority="5481"/>
    <cfRule type="duplicateValues" dxfId="0" priority="5483"/>
    <cfRule type="duplicateValues" dxfId="0" priority="5485"/>
    <cfRule type="duplicateValues" dxfId="0" priority="5487"/>
    <cfRule type="duplicateValues" dxfId="0" priority="5489"/>
    <cfRule type="duplicateValues" dxfId="0" priority="5491"/>
    <cfRule type="duplicateValues" dxfId="0" priority="5493"/>
    <cfRule type="duplicateValues" dxfId="0" priority="5495"/>
    <cfRule type="duplicateValues" dxfId="0" priority="5497"/>
    <cfRule type="duplicateValues" dxfId="0" priority="5499"/>
    <cfRule type="duplicateValues" dxfId="0" priority="5501"/>
    <cfRule type="duplicateValues" dxfId="0" priority="5503"/>
    <cfRule type="duplicateValues" dxfId="0" priority="5505"/>
  </conditionalFormatting>
  <conditionalFormatting sqref="XEV62">
    <cfRule type="duplicateValues" dxfId="0" priority="5587"/>
  </conditionalFormatting>
  <conditionalFormatting sqref="XFA62">
    <cfRule type="duplicateValues" dxfId="0" priority="5589"/>
  </conditionalFormatting>
  <conditionalFormatting sqref="H63"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</conditionalFormatting>
  <conditionalFormatting sqref="J63"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</conditionalFormatting>
  <conditionalFormatting sqref="K63">
    <cfRule type="duplicateValues" dxfId="0" priority="5506"/>
    <cfRule type="duplicateValues" dxfId="0" priority="5508"/>
    <cfRule type="duplicateValues" dxfId="0" priority="5510"/>
    <cfRule type="duplicateValues" dxfId="0" priority="5512"/>
    <cfRule type="duplicateValues" dxfId="0" priority="5514"/>
    <cfRule type="duplicateValues" dxfId="0" priority="5516"/>
    <cfRule type="duplicateValues" dxfId="0" priority="5518"/>
    <cfRule type="duplicateValues" dxfId="0" priority="5520"/>
    <cfRule type="duplicateValues" dxfId="0" priority="5522"/>
    <cfRule type="duplicateValues" dxfId="0" priority="5524"/>
    <cfRule type="duplicateValues" dxfId="0" priority="5526"/>
    <cfRule type="duplicateValues" dxfId="0" priority="5528"/>
    <cfRule type="duplicateValues" dxfId="0" priority="5530"/>
    <cfRule type="duplicateValues" dxfId="0" priority="5532"/>
    <cfRule type="duplicateValues" dxfId="0" priority="5534"/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</conditionalFormatting>
  <conditionalFormatting sqref="L63">
    <cfRule type="duplicateValues" dxfId="0" priority="5466"/>
    <cfRule type="duplicateValues" dxfId="0" priority="5468"/>
    <cfRule type="duplicateValues" dxfId="0" priority="5470"/>
    <cfRule type="duplicateValues" dxfId="0" priority="5472"/>
    <cfRule type="duplicateValues" dxfId="0" priority="5474"/>
    <cfRule type="duplicateValues" dxfId="0" priority="5476"/>
    <cfRule type="duplicateValues" dxfId="0" priority="5478"/>
    <cfRule type="duplicateValues" dxfId="0" priority="5480"/>
    <cfRule type="duplicateValues" dxfId="0" priority="5482"/>
    <cfRule type="duplicateValues" dxfId="0" priority="5484"/>
    <cfRule type="duplicateValues" dxfId="0" priority="5486"/>
    <cfRule type="duplicateValues" dxfId="0" priority="5488"/>
    <cfRule type="duplicateValues" dxfId="0" priority="5490"/>
    <cfRule type="duplicateValues" dxfId="0" priority="5492"/>
    <cfRule type="duplicateValues" dxfId="0" priority="5494"/>
    <cfRule type="duplicateValues" dxfId="0" priority="5496"/>
    <cfRule type="duplicateValues" dxfId="0" priority="5498"/>
    <cfRule type="duplicateValues" dxfId="0" priority="5500"/>
    <cfRule type="duplicateValues" dxfId="0" priority="5502"/>
    <cfRule type="duplicateValues" dxfId="0" priority="5504"/>
  </conditionalFormatting>
  <conditionalFormatting sqref="XEV63">
    <cfRule type="duplicateValues" dxfId="0" priority="5586"/>
  </conditionalFormatting>
  <conditionalFormatting sqref="XFA63">
    <cfRule type="duplicateValues" dxfId="0" priority="5588"/>
  </conditionalFormatting>
  <conditionalFormatting sqref="H64"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</conditionalFormatting>
  <conditionalFormatting sqref="J64">
    <cfRule type="duplicateValues" dxfId="0" priority="5424"/>
    <cfRule type="duplicateValues" dxfId="0" priority="5425"/>
    <cfRule type="duplicateValues" dxfId="0" priority="5426"/>
    <cfRule type="duplicateValues" dxfId="0" priority="5427"/>
    <cfRule type="duplicateValues" dxfId="0" priority="5428"/>
    <cfRule type="duplicateValues" dxfId="0" priority="5429"/>
    <cfRule type="duplicateValues" dxfId="0" priority="5430"/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</conditionalFormatting>
  <conditionalFormatting sqref="K64">
    <cfRule type="duplicateValues" dxfId="0" priority="5404"/>
    <cfRule type="duplicateValues" dxfId="0" priority="5405"/>
    <cfRule type="duplicateValues" dxfId="0" priority="5406"/>
    <cfRule type="duplicateValues" dxfId="0" priority="5407"/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</conditionalFormatting>
  <conditionalFormatting sqref="L64">
    <cfRule type="duplicateValues" dxfId="0" priority="5364"/>
    <cfRule type="duplicateValues" dxfId="0" priority="5365"/>
    <cfRule type="duplicateValues" dxfId="0" priority="5366"/>
    <cfRule type="duplicateValues" dxfId="0" priority="5367"/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</conditionalFormatting>
  <conditionalFormatting sqref="M64">
    <cfRule type="duplicateValues" dxfId="0" priority="5384"/>
    <cfRule type="duplicateValues" dxfId="0" priority="5385"/>
    <cfRule type="duplicateValues" dxfId="0" priority="5386"/>
    <cfRule type="duplicateValues" dxfId="0" priority="5387"/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</conditionalFormatting>
  <conditionalFormatting sqref="XEV64">
    <cfRule type="duplicateValues" dxfId="0" priority="5444"/>
  </conditionalFormatting>
  <conditionalFormatting sqref="XFA64">
    <cfRule type="duplicateValues" dxfId="0" priority="5445"/>
  </conditionalFormatting>
  <conditionalFormatting sqref="A65">
    <cfRule type="duplicateValues" dxfId="0" priority="5323"/>
  </conditionalFormatting>
  <conditionalFormatting sqref="H65">
    <cfRule type="duplicateValues" dxfId="0" priority="5325"/>
    <cfRule type="duplicateValues" dxfId="0" priority="5327"/>
    <cfRule type="duplicateValues" dxfId="0" priority="5329"/>
    <cfRule type="duplicateValues" dxfId="0" priority="5331"/>
    <cfRule type="duplicateValues" dxfId="0" priority="5333"/>
    <cfRule type="duplicateValues" dxfId="0" priority="5335"/>
    <cfRule type="duplicateValues" dxfId="0" priority="5337"/>
    <cfRule type="duplicateValues" dxfId="0" priority="5339"/>
    <cfRule type="duplicateValues" dxfId="0" priority="5341"/>
    <cfRule type="duplicateValues" dxfId="0" priority="5343"/>
    <cfRule type="duplicateValues" dxfId="0" priority="5345"/>
    <cfRule type="duplicateValues" dxfId="0" priority="5347"/>
    <cfRule type="duplicateValues" dxfId="0" priority="5349"/>
    <cfRule type="duplicateValues" dxfId="0" priority="5351"/>
    <cfRule type="duplicateValues" dxfId="0" priority="5353"/>
    <cfRule type="duplicateValues" dxfId="0" priority="5355"/>
    <cfRule type="duplicateValues" dxfId="0" priority="5357"/>
    <cfRule type="duplicateValues" dxfId="0" priority="5359"/>
    <cfRule type="duplicateValues" dxfId="0" priority="5361"/>
    <cfRule type="duplicateValues" dxfId="0" priority="5363"/>
  </conditionalFormatting>
  <conditionalFormatting sqref="J65">
    <cfRule type="duplicateValues" dxfId="0" priority="5279"/>
    <cfRule type="duplicateValues" dxfId="0" priority="5281"/>
    <cfRule type="duplicateValues" dxfId="0" priority="5283"/>
    <cfRule type="duplicateValues" dxfId="0" priority="5285"/>
    <cfRule type="duplicateValues" dxfId="0" priority="5287"/>
    <cfRule type="duplicateValues" dxfId="0" priority="5289"/>
    <cfRule type="duplicateValues" dxfId="0" priority="5291"/>
    <cfRule type="duplicateValues" dxfId="0" priority="5293"/>
    <cfRule type="duplicateValues" dxfId="0" priority="5295"/>
    <cfRule type="duplicateValues" dxfId="0" priority="5297"/>
    <cfRule type="duplicateValues" dxfId="0" priority="5299"/>
    <cfRule type="duplicateValues" dxfId="0" priority="5301"/>
    <cfRule type="duplicateValues" dxfId="0" priority="5303"/>
    <cfRule type="duplicateValues" dxfId="0" priority="5305"/>
    <cfRule type="duplicateValues" dxfId="0" priority="5307"/>
    <cfRule type="duplicateValues" dxfId="0" priority="5309"/>
    <cfRule type="duplicateValues" dxfId="0" priority="5311"/>
    <cfRule type="duplicateValues" dxfId="0" priority="5313"/>
    <cfRule type="duplicateValues" dxfId="0" priority="5315"/>
    <cfRule type="duplicateValues" dxfId="0" priority="5317"/>
  </conditionalFormatting>
  <conditionalFormatting sqref="K65"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  <cfRule type="duplicateValues" dxfId="0" priority="5277"/>
  </conditionalFormatting>
  <conditionalFormatting sqref="L65"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</conditionalFormatting>
  <conditionalFormatting sqref="M65"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</conditionalFormatting>
  <conditionalFormatting sqref="XEV65">
    <cfRule type="duplicateValues" dxfId="0" priority="5319"/>
  </conditionalFormatting>
  <conditionalFormatting sqref="XFA65">
    <cfRule type="duplicateValues" dxfId="0" priority="5321"/>
  </conditionalFormatting>
  <conditionalFormatting sqref="A66">
    <cfRule type="duplicateValues" dxfId="0" priority="5322"/>
  </conditionalFormatting>
  <conditionalFormatting sqref="H66">
    <cfRule type="duplicateValues" dxfId="0" priority="5324"/>
    <cfRule type="duplicateValues" dxfId="0" priority="5326"/>
    <cfRule type="duplicateValues" dxfId="0" priority="5328"/>
    <cfRule type="duplicateValues" dxfId="0" priority="5330"/>
    <cfRule type="duplicateValues" dxfId="0" priority="5332"/>
    <cfRule type="duplicateValues" dxfId="0" priority="5334"/>
    <cfRule type="duplicateValues" dxfId="0" priority="5336"/>
    <cfRule type="duplicateValues" dxfId="0" priority="5338"/>
    <cfRule type="duplicateValues" dxfId="0" priority="5340"/>
    <cfRule type="duplicateValues" dxfId="0" priority="5342"/>
    <cfRule type="duplicateValues" dxfId="0" priority="5344"/>
    <cfRule type="duplicateValues" dxfId="0" priority="5346"/>
    <cfRule type="duplicateValues" dxfId="0" priority="5348"/>
    <cfRule type="duplicateValues" dxfId="0" priority="5350"/>
    <cfRule type="duplicateValues" dxfId="0" priority="5352"/>
    <cfRule type="duplicateValues" dxfId="0" priority="5354"/>
    <cfRule type="duplicateValues" dxfId="0" priority="5356"/>
    <cfRule type="duplicateValues" dxfId="0" priority="5358"/>
    <cfRule type="duplicateValues" dxfId="0" priority="5360"/>
    <cfRule type="duplicateValues" dxfId="0" priority="5362"/>
  </conditionalFormatting>
  <conditionalFormatting sqref="J66">
    <cfRule type="duplicateValues" dxfId="0" priority="5278"/>
    <cfRule type="duplicateValues" dxfId="0" priority="5280"/>
    <cfRule type="duplicateValues" dxfId="0" priority="5282"/>
    <cfRule type="duplicateValues" dxfId="0" priority="5284"/>
    <cfRule type="duplicateValues" dxfId="0" priority="5286"/>
    <cfRule type="duplicateValues" dxfId="0" priority="5288"/>
    <cfRule type="duplicateValues" dxfId="0" priority="5290"/>
    <cfRule type="duplicateValues" dxfId="0" priority="5292"/>
    <cfRule type="duplicateValues" dxfId="0" priority="5294"/>
    <cfRule type="duplicateValues" dxfId="0" priority="5296"/>
    <cfRule type="duplicateValues" dxfId="0" priority="5298"/>
    <cfRule type="duplicateValues" dxfId="0" priority="5300"/>
    <cfRule type="duplicateValues" dxfId="0" priority="5302"/>
    <cfRule type="duplicateValues" dxfId="0" priority="5304"/>
    <cfRule type="duplicateValues" dxfId="0" priority="5306"/>
    <cfRule type="duplicateValues" dxfId="0" priority="5308"/>
    <cfRule type="duplicateValues" dxfId="0" priority="5310"/>
    <cfRule type="duplicateValues" dxfId="0" priority="5312"/>
    <cfRule type="duplicateValues" dxfId="0" priority="5314"/>
    <cfRule type="duplicateValues" dxfId="0" priority="5316"/>
  </conditionalFormatting>
  <conditionalFormatting sqref="K66"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</conditionalFormatting>
  <conditionalFormatting sqref="L66"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</conditionalFormatting>
  <conditionalFormatting sqref="M66"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</conditionalFormatting>
  <conditionalFormatting sqref="XEV66">
    <cfRule type="duplicateValues" dxfId="0" priority="5318"/>
  </conditionalFormatting>
  <conditionalFormatting sqref="XFA66">
    <cfRule type="duplicateValues" dxfId="0" priority="5320"/>
  </conditionalFormatting>
  <conditionalFormatting sqref="A67">
    <cfRule type="duplicateValues" dxfId="0" priority="5137"/>
  </conditionalFormatting>
  <conditionalFormatting sqref="H67">
    <cfRule type="duplicateValues" dxfId="0" priority="5138"/>
    <cfRule type="duplicateValues" dxfId="0" priority="5139"/>
    <cfRule type="duplicateValues" dxfId="0" priority="5140"/>
    <cfRule type="duplicateValues" dxfId="0" priority="5141"/>
    <cfRule type="duplicateValues" dxfId="0" priority="5142"/>
    <cfRule type="duplicateValues" dxfId="0" priority="5143"/>
    <cfRule type="duplicateValues" dxfId="0" priority="5144"/>
    <cfRule type="duplicateValues" dxfId="0" priority="5145"/>
    <cfRule type="duplicateValues" dxfId="0" priority="5146"/>
    <cfRule type="duplicateValues" dxfId="0" priority="5147"/>
    <cfRule type="duplicateValues" dxfId="0" priority="5148"/>
    <cfRule type="duplicateValues" dxfId="0" priority="5149"/>
    <cfRule type="duplicateValues" dxfId="0" priority="5150"/>
    <cfRule type="duplicateValues" dxfId="0" priority="5151"/>
    <cfRule type="duplicateValues" dxfId="0" priority="5152"/>
    <cfRule type="duplicateValues" dxfId="0" priority="5153"/>
    <cfRule type="duplicateValues" dxfId="0" priority="5154"/>
    <cfRule type="duplicateValues" dxfId="0" priority="5155"/>
    <cfRule type="duplicateValues" dxfId="0" priority="5156"/>
    <cfRule type="duplicateValues" dxfId="0" priority="5157"/>
  </conditionalFormatting>
  <conditionalFormatting sqref="J67">
    <cfRule type="duplicateValues" dxfId="0" priority="5115"/>
    <cfRule type="duplicateValues" dxfId="0" priority="5116"/>
    <cfRule type="duplicateValues" dxfId="0" priority="5117"/>
    <cfRule type="duplicateValues" dxfId="0" priority="5118"/>
    <cfRule type="duplicateValues" dxfId="0" priority="5119"/>
    <cfRule type="duplicateValues" dxfId="0" priority="5120"/>
    <cfRule type="duplicateValues" dxfId="0" priority="5121"/>
    <cfRule type="duplicateValues" dxfId="0" priority="5122"/>
    <cfRule type="duplicateValues" dxfId="0" priority="5123"/>
    <cfRule type="duplicateValues" dxfId="0" priority="5124"/>
    <cfRule type="duplicateValues" dxfId="0" priority="5125"/>
    <cfRule type="duplicateValues" dxfId="0" priority="5126"/>
    <cfRule type="duplicateValues" dxfId="0" priority="5127"/>
    <cfRule type="duplicateValues" dxfId="0" priority="5128"/>
    <cfRule type="duplicateValues" dxfId="0" priority="5129"/>
    <cfRule type="duplicateValues" dxfId="0" priority="5130"/>
    <cfRule type="duplicateValues" dxfId="0" priority="5131"/>
    <cfRule type="duplicateValues" dxfId="0" priority="5132"/>
    <cfRule type="duplicateValues" dxfId="0" priority="5133"/>
    <cfRule type="duplicateValues" dxfId="0" priority="5134"/>
  </conditionalFormatting>
  <conditionalFormatting sqref="K67"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  <cfRule type="duplicateValues" dxfId="0" priority="5104"/>
    <cfRule type="duplicateValues" dxfId="0" priority="5105"/>
    <cfRule type="duplicateValues" dxfId="0" priority="5106"/>
    <cfRule type="duplicateValues" dxfId="0" priority="5107"/>
    <cfRule type="duplicateValues" dxfId="0" priority="5108"/>
    <cfRule type="duplicateValues" dxfId="0" priority="5109"/>
    <cfRule type="duplicateValues" dxfId="0" priority="5110"/>
    <cfRule type="duplicateValues" dxfId="0" priority="5111"/>
    <cfRule type="duplicateValues" dxfId="0" priority="5112"/>
    <cfRule type="duplicateValues" dxfId="0" priority="5113"/>
    <cfRule type="duplicateValues" dxfId="0" priority="5114"/>
  </conditionalFormatting>
  <conditionalFormatting sqref="L67">
    <cfRule type="duplicateValues" dxfId="0" priority="5055"/>
    <cfRule type="duplicateValues" dxfId="0" priority="5056"/>
    <cfRule type="duplicateValues" dxfId="0" priority="5057"/>
    <cfRule type="duplicateValues" dxfId="0" priority="5058"/>
    <cfRule type="duplicateValues" dxfId="0" priority="5059"/>
    <cfRule type="duplicateValues" dxfId="0" priority="5060"/>
    <cfRule type="duplicateValues" dxfId="0" priority="5061"/>
    <cfRule type="duplicateValues" dxfId="0" priority="5062"/>
    <cfRule type="duplicateValues" dxfId="0" priority="5063"/>
    <cfRule type="duplicateValues" dxfId="0" priority="5064"/>
    <cfRule type="duplicateValues" dxfId="0" priority="5065"/>
    <cfRule type="duplicateValues" dxfId="0" priority="5066"/>
    <cfRule type="duplicateValues" dxfId="0" priority="5067"/>
    <cfRule type="duplicateValues" dxfId="0" priority="5068"/>
    <cfRule type="duplicateValues" dxfId="0" priority="5069"/>
    <cfRule type="duplicateValues" dxfId="0" priority="5070"/>
    <cfRule type="duplicateValues" dxfId="0" priority="5071"/>
    <cfRule type="duplicateValues" dxfId="0" priority="5072"/>
    <cfRule type="duplicateValues" dxfId="0" priority="5073"/>
    <cfRule type="duplicateValues" dxfId="0" priority="5074"/>
  </conditionalFormatting>
  <conditionalFormatting sqref="M67"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</conditionalFormatting>
  <conditionalFormatting sqref="XEV67">
    <cfRule type="duplicateValues" dxfId="0" priority="5135"/>
  </conditionalFormatting>
  <conditionalFormatting sqref="XFA67">
    <cfRule type="duplicateValues" dxfId="0" priority="5136"/>
  </conditionalFormatting>
  <conditionalFormatting sqref="A68">
    <cfRule type="duplicateValues" dxfId="0" priority="4934"/>
  </conditionalFormatting>
  <conditionalFormatting sqref="H68"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</conditionalFormatting>
  <conditionalFormatting sqref="J68"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</conditionalFormatting>
  <conditionalFormatting sqref="K68"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</conditionalFormatting>
  <conditionalFormatting sqref="L68"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</conditionalFormatting>
  <conditionalFormatting sqref="M68"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</conditionalFormatting>
  <conditionalFormatting sqref="XEV68">
    <cfRule type="duplicateValues" dxfId="0" priority="4922"/>
  </conditionalFormatting>
  <conditionalFormatting sqref="XFA68">
    <cfRule type="duplicateValues" dxfId="0" priority="4928"/>
  </conditionalFormatting>
  <conditionalFormatting sqref="A69">
    <cfRule type="duplicateValues" dxfId="0" priority="4933"/>
  </conditionalFormatting>
  <conditionalFormatting sqref="H69"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</conditionalFormatting>
  <conditionalFormatting sqref="J69"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</conditionalFormatting>
  <conditionalFormatting sqref="K69"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</conditionalFormatting>
  <conditionalFormatting sqref="L69"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</conditionalFormatting>
  <conditionalFormatting sqref="M69"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</conditionalFormatting>
  <conditionalFormatting sqref="XEV69">
    <cfRule type="duplicateValues" dxfId="0" priority="4921"/>
  </conditionalFormatting>
  <conditionalFormatting sqref="XFA69">
    <cfRule type="duplicateValues" dxfId="0" priority="4927"/>
  </conditionalFormatting>
  <conditionalFormatting sqref="A70">
    <cfRule type="duplicateValues" dxfId="0" priority="4932"/>
  </conditionalFormatting>
  <conditionalFormatting sqref="H70"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</conditionalFormatting>
  <conditionalFormatting sqref="J70"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</conditionalFormatting>
  <conditionalFormatting sqref="K70"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</conditionalFormatting>
  <conditionalFormatting sqref="L70"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</conditionalFormatting>
  <conditionalFormatting sqref="M70"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</conditionalFormatting>
  <conditionalFormatting sqref="XEV70">
    <cfRule type="duplicateValues" dxfId="0" priority="4920"/>
  </conditionalFormatting>
  <conditionalFormatting sqref="XFA70">
    <cfRule type="duplicateValues" dxfId="0" priority="4926"/>
  </conditionalFormatting>
  <conditionalFormatting sqref="A71">
    <cfRule type="duplicateValues" dxfId="0" priority="4931"/>
  </conditionalFormatting>
  <conditionalFormatting sqref="H71"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</conditionalFormatting>
  <conditionalFormatting sqref="J71"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</conditionalFormatting>
  <conditionalFormatting sqref="K71"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</conditionalFormatting>
  <conditionalFormatting sqref="L71"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</conditionalFormatting>
  <conditionalFormatting sqref="M71"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</conditionalFormatting>
  <conditionalFormatting sqref="XEV71">
    <cfRule type="duplicateValues" dxfId="0" priority="4919"/>
  </conditionalFormatting>
  <conditionalFormatting sqref="XFA71">
    <cfRule type="duplicateValues" dxfId="0" priority="4925"/>
  </conditionalFormatting>
  <conditionalFormatting sqref="A72">
    <cfRule type="duplicateValues" dxfId="0" priority="4930"/>
  </conditionalFormatting>
  <conditionalFormatting sqref="H72"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</conditionalFormatting>
  <conditionalFormatting sqref="J72"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</conditionalFormatting>
  <conditionalFormatting sqref="K72"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</conditionalFormatting>
  <conditionalFormatting sqref="L72"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</conditionalFormatting>
  <conditionalFormatting sqref="M72"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</conditionalFormatting>
  <conditionalFormatting sqref="XEV72">
    <cfRule type="duplicateValues" dxfId="0" priority="4918"/>
  </conditionalFormatting>
  <conditionalFormatting sqref="XFA72">
    <cfRule type="duplicateValues" dxfId="0" priority="4924"/>
  </conditionalFormatting>
  <conditionalFormatting sqref="A73">
    <cfRule type="duplicateValues" dxfId="0" priority="4929"/>
  </conditionalFormatting>
  <conditionalFormatting sqref="H73"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</conditionalFormatting>
  <conditionalFormatting sqref="J73"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</conditionalFormatting>
  <conditionalFormatting sqref="K73"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</conditionalFormatting>
  <conditionalFormatting sqref="L73"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</conditionalFormatting>
  <conditionalFormatting sqref="M73"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</conditionalFormatting>
  <conditionalFormatting sqref="XEV73">
    <cfRule type="duplicateValues" dxfId="0" priority="4917"/>
  </conditionalFormatting>
  <conditionalFormatting sqref="XFA73">
    <cfRule type="duplicateValues" dxfId="0" priority="4923"/>
  </conditionalFormatting>
  <conditionalFormatting sqref="A74">
    <cfRule type="duplicateValues" dxfId="0" priority="4316"/>
  </conditionalFormatting>
  <conditionalFormatting sqref="H74"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</conditionalFormatting>
  <conditionalFormatting sqref="J74"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</conditionalFormatting>
  <conditionalFormatting sqref="K74"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</conditionalFormatting>
  <conditionalFormatting sqref="L74">
    <cfRule type="duplicateValues" dxfId="0" priority="3824"/>
    <cfRule type="duplicateValues" dxfId="0" priority="3830"/>
    <cfRule type="duplicateValues" dxfId="0" priority="3836"/>
    <cfRule type="duplicateValues" dxfId="0" priority="3842"/>
    <cfRule type="duplicateValues" dxfId="0" priority="3848"/>
    <cfRule type="duplicateValues" dxfId="0" priority="3854"/>
    <cfRule type="duplicateValues" dxfId="0" priority="3860"/>
    <cfRule type="duplicateValues" dxfId="0" priority="3866"/>
    <cfRule type="duplicateValues" dxfId="0" priority="3872"/>
    <cfRule type="duplicateValues" dxfId="0" priority="3878"/>
    <cfRule type="duplicateValues" dxfId="0" priority="3884"/>
    <cfRule type="duplicateValues" dxfId="0" priority="3890"/>
    <cfRule type="duplicateValues" dxfId="0" priority="3896"/>
    <cfRule type="duplicateValues" dxfId="0" priority="3902"/>
    <cfRule type="duplicateValues" dxfId="0" priority="3908"/>
    <cfRule type="duplicateValues" dxfId="0" priority="3914"/>
    <cfRule type="duplicateValues" dxfId="0" priority="3920"/>
    <cfRule type="duplicateValues" dxfId="0" priority="3926"/>
    <cfRule type="duplicateValues" dxfId="0" priority="3932"/>
    <cfRule type="duplicateValues" dxfId="0" priority="3938"/>
  </conditionalFormatting>
  <conditionalFormatting sqref="M74"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</conditionalFormatting>
  <conditionalFormatting sqref="XEV74">
    <cfRule type="duplicateValues" dxfId="0" priority="4304"/>
  </conditionalFormatting>
  <conditionalFormatting sqref="XFA74">
    <cfRule type="duplicateValues" dxfId="0" priority="4310"/>
  </conditionalFormatting>
  <conditionalFormatting sqref="A75">
    <cfRule type="duplicateValues" dxfId="0" priority="4315"/>
  </conditionalFormatting>
  <conditionalFormatting sqref="H75"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</conditionalFormatting>
  <conditionalFormatting sqref="J75"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</conditionalFormatting>
  <conditionalFormatting sqref="K75"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</conditionalFormatting>
  <conditionalFormatting sqref="L75">
    <cfRule type="duplicateValues" dxfId="0" priority="3823"/>
    <cfRule type="duplicateValues" dxfId="0" priority="3829"/>
    <cfRule type="duplicateValues" dxfId="0" priority="3835"/>
    <cfRule type="duplicateValues" dxfId="0" priority="3841"/>
    <cfRule type="duplicateValues" dxfId="0" priority="3847"/>
    <cfRule type="duplicateValues" dxfId="0" priority="3853"/>
    <cfRule type="duplicateValues" dxfId="0" priority="3859"/>
    <cfRule type="duplicateValues" dxfId="0" priority="3865"/>
    <cfRule type="duplicateValues" dxfId="0" priority="3871"/>
    <cfRule type="duplicateValues" dxfId="0" priority="3877"/>
    <cfRule type="duplicateValues" dxfId="0" priority="3883"/>
    <cfRule type="duplicateValues" dxfId="0" priority="3889"/>
    <cfRule type="duplicateValues" dxfId="0" priority="3895"/>
    <cfRule type="duplicateValues" dxfId="0" priority="3901"/>
    <cfRule type="duplicateValues" dxfId="0" priority="3907"/>
    <cfRule type="duplicateValues" dxfId="0" priority="3913"/>
    <cfRule type="duplicateValues" dxfId="0" priority="3919"/>
    <cfRule type="duplicateValues" dxfId="0" priority="3925"/>
    <cfRule type="duplicateValues" dxfId="0" priority="3931"/>
    <cfRule type="duplicateValues" dxfId="0" priority="3937"/>
  </conditionalFormatting>
  <conditionalFormatting sqref="M75"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</conditionalFormatting>
  <conditionalFormatting sqref="XEV75">
    <cfRule type="duplicateValues" dxfId="0" priority="4303"/>
  </conditionalFormatting>
  <conditionalFormatting sqref="XFA75">
    <cfRule type="duplicateValues" dxfId="0" priority="4309"/>
  </conditionalFormatting>
  <conditionalFormatting sqref="A76">
    <cfRule type="duplicateValues" dxfId="0" priority="4314"/>
  </conditionalFormatting>
  <conditionalFormatting sqref="H76"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</conditionalFormatting>
  <conditionalFormatting sqref="J76"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</conditionalFormatting>
  <conditionalFormatting sqref="K76"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</conditionalFormatting>
  <conditionalFormatting sqref="L76">
    <cfRule type="duplicateValues" dxfId="0" priority="3822"/>
    <cfRule type="duplicateValues" dxfId="0" priority="3828"/>
    <cfRule type="duplicateValues" dxfId="0" priority="3834"/>
    <cfRule type="duplicateValues" dxfId="0" priority="3840"/>
    <cfRule type="duplicateValues" dxfId="0" priority="3846"/>
    <cfRule type="duplicateValues" dxfId="0" priority="3852"/>
    <cfRule type="duplicateValues" dxfId="0" priority="3858"/>
    <cfRule type="duplicateValues" dxfId="0" priority="3864"/>
    <cfRule type="duplicateValues" dxfId="0" priority="3870"/>
    <cfRule type="duplicateValues" dxfId="0" priority="3876"/>
    <cfRule type="duplicateValues" dxfId="0" priority="3882"/>
    <cfRule type="duplicateValues" dxfId="0" priority="3888"/>
    <cfRule type="duplicateValues" dxfId="0" priority="3894"/>
    <cfRule type="duplicateValues" dxfId="0" priority="3900"/>
    <cfRule type="duplicateValues" dxfId="0" priority="3906"/>
    <cfRule type="duplicateValues" dxfId="0" priority="3912"/>
    <cfRule type="duplicateValues" dxfId="0" priority="3918"/>
    <cfRule type="duplicateValues" dxfId="0" priority="3924"/>
    <cfRule type="duplicateValues" dxfId="0" priority="3930"/>
    <cfRule type="duplicateValues" dxfId="0" priority="3936"/>
  </conditionalFormatting>
  <conditionalFormatting sqref="M76"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</conditionalFormatting>
  <conditionalFormatting sqref="XEV76">
    <cfRule type="duplicateValues" dxfId="0" priority="4302"/>
  </conditionalFormatting>
  <conditionalFormatting sqref="XFA76">
    <cfRule type="duplicateValues" dxfId="0" priority="4308"/>
  </conditionalFormatting>
  <conditionalFormatting sqref="A77">
    <cfRule type="duplicateValues" dxfId="0" priority="4313"/>
  </conditionalFormatting>
  <conditionalFormatting sqref="H77"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</conditionalFormatting>
  <conditionalFormatting sqref="J77"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</conditionalFormatting>
  <conditionalFormatting sqref="K77"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</conditionalFormatting>
  <conditionalFormatting sqref="L77">
    <cfRule type="duplicateValues" dxfId="0" priority="3821"/>
    <cfRule type="duplicateValues" dxfId="0" priority="3827"/>
    <cfRule type="duplicateValues" dxfId="0" priority="3833"/>
    <cfRule type="duplicateValues" dxfId="0" priority="3839"/>
    <cfRule type="duplicateValues" dxfId="0" priority="3845"/>
    <cfRule type="duplicateValues" dxfId="0" priority="3851"/>
    <cfRule type="duplicateValues" dxfId="0" priority="3857"/>
    <cfRule type="duplicateValues" dxfId="0" priority="3863"/>
    <cfRule type="duplicateValues" dxfId="0" priority="3869"/>
    <cfRule type="duplicateValues" dxfId="0" priority="3875"/>
    <cfRule type="duplicateValues" dxfId="0" priority="3881"/>
    <cfRule type="duplicateValues" dxfId="0" priority="3887"/>
    <cfRule type="duplicateValues" dxfId="0" priority="3893"/>
    <cfRule type="duplicateValues" dxfId="0" priority="3899"/>
    <cfRule type="duplicateValues" dxfId="0" priority="3905"/>
    <cfRule type="duplicateValues" dxfId="0" priority="3911"/>
    <cfRule type="duplicateValues" dxfId="0" priority="3917"/>
    <cfRule type="duplicateValues" dxfId="0" priority="3923"/>
    <cfRule type="duplicateValues" dxfId="0" priority="3929"/>
    <cfRule type="duplicateValues" dxfId="0" priority="3935"/>
  </conditionalFormatting>
  <conditionalFormatting sqref="M77"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</conditionalFormatting>
  <conditionalFormatting sqref="XEV77">
    <cfRule type="duplicateValues" dxfId="0" priority="4301"/>
  </conditionalFormatting>
  <conditionalFormatting sqref="XFA77">
    <cfRule type="duplicateValues" dxfId="0" priority="4307"/>
  </conditionalFormatting>
  <conditionalFormatting sqref="A78">
    <cfRule type="duplicateValues" dxfId="0" priority="4312"/>
  </conditionalFormatting>
  <conditionalFormatting sqref="H78"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</conditionalFormatting>
  <conditionalFormatting sqref="J78"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</conditionalFormatting>
  <conditionalFormatting sqref="K78"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</conditionalFormatting>
  <conditionalFormatting sqref="L78">
    <cfRule type="duplicateValues" dxfId="0" priority="3820"/>
    <cfRule type="duplicateValues" dxfId="0" priority="3826"/>
    <cfRule type="duplicateValues" dxfId="0" priority="3832"/>
    <cfRule type="duplicateValues" dxfId="0" priority="3838"/>
    <cfRule type="duplicateValues" dxfId="0" priority="3844"/>
    <cfRule type="duplicateValues" dxfId="0" priority="3850"/>
    <cfRule type="duplicateValues" dxfId="0" priority="3856"/>
    <cfRule type="duplicateValues" dxfId="0" priority="3862"/>
    <cfRule type="duplicateValues" dxfId="0" priority="3868"/>
    <cfRule type="duplicateValues" dxfId="0" priority="3874"/>
    <cfRule type="duplicateValues" dxfId="0" priority="3880"/>
    <cfRule type="duplicateValues" dxfId="0" priority="3886"/>
    <cfRule type="duplicateValues" dxfId="0" priority="3892"/>
    <cfRule type="duplicateValues" dxfId="0" priority="3898"/>
    <cfRule type="duplicateValues" dxfId="0" priority="3904"/>
    <cfRule type="duplicateValues" dxfId="0" priority="3910"/>
    <cfRule type="duplicateValues" dxfId="0" priority="3916"/>
    <cfRule type="duplicateValues" dxfId="0" priority="3922"/>
    <cfRule type="duplicateValues" dxfId="0" priority="3928"/>
    <cfRule type="duplicateValues" dxfId="0" priority="3934"/>
  </conditionalFormatting>
  <conditionalFormatting sqref="M78"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</conditionalFormatting>
  <conditionalFormatting sqref="XEV78">
    <cfRule type="duplicateValues" dxfId="0" priority="4300"/>
  </conditionalFormatting>
  <conditionalFormatting sqref="XFA78">
    <cfRule type="duplicateValues" dxfId="0" priority="4306"/>
  </conditionalFormatting>
  <conditionalFormatting sqref="A79">
    <cfRule type="duplicateValues" dxfId="0" priority="4311"/>
  </conditionalFormatting>
  <conditionalFormatting sqref="H79"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</conditionalFormatting>
  <conditionalFormatting sqref="J79"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</conditionalFormatting>
  <conditionalFormatting sqref="K79"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</conditionalFormatting>
  <conditionalFormatting sqref="L79">
    <cfRule type="duplicateValues" dxfId="0" priority="3819"/>
    <cfRule type="duplicateValues" dxfId="0" priority="3825"/>
    <cfRule type="duplicateValues" dxfId="0" priority="3831"/>
    <cfRule type="duplicateValues" dxfId="0" priority="3837"/>
    <cfRule type="duplicateValues" dxfId="0" priority="3843"/>
    <cfRule type="duplicateValues" dxfId="0" priority="3849"/>
    <cfRule type="duplicateValues" dxfId="0" priority="3855"/>
    <cfRule type="duplicateValues" dxfId="0" priority="3861"/>
    <cfRule type="duplicateValues" dxfId="0" priority="3867"/>
    <cfRule type="duplicateValues" dxfId="0" priority="3873"/>
    <cfRule type="duplicateValues" dxfId="0" priority="3879"/>
    <cfRule type="duplicateValues" dxfId="0" priority="3885"/>
    <cfRule type="duplicateValues" dxfId="0" priority="3891"/>
    <cfRule type="duplicateValues" dxfId="0" priority="3897"/>
    <cfRule type="duplicateValues" dxfId="0" priority="3903"/>
    <cfRule type="duplicateValues" dxfId="0" priority="3909"/>
    <cfRule type="duplicateValues" dxfId="0" priority="3915"/>
    <cfRule type="duplicateValues" dxfId="0" priority="3921"/>
    <cfRule type="duplicateValues" dxfId="0" priority="3927"/>
    <cfRule type="duplicateValues" dxfId="0" priority="3933"/>
  </conditionalFormatting>
  <conditionalFormatting sqref="M79"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</conditionalFormatting>
  <conditionalFormatting sqref="XEV79">
    <cfRule type="duplicateValues" dxfId="0" priority="4299"/>
  </conditionalFormatting>
  <conditionalFormatting sqref="XFA79">
    <cfRule type="duplicateValues" dxfId="0" priority="4305"/>
  </conditionalFormatting>
  <conditionalFormatting sqref="A80">
    <cfRule type="duplicateValues" dxfId="0" priority="3518"/>
  </conditionalFormatting>
  <conditionalFormatting sqref="H80"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</conditionalFormatting>
  <conditionalFormatting sqref="J80"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</conditionalFormatting>
  <conditionalFormatting sqref="K80"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</conditionalFormatting>
  <conditionalFormatting sqref="L80"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  <cfRule type="duplicateValues" dxfId="0" priority="2423"/>
    <cfRule type="duplicateValues" dxfId="0" priority="2438"/>
    <cfRule type="duplicateValues" dxfId="0" priority="2453"/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</conditionalFormatting>
  <conditionalFormatting sqref="M80"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</conditionalFormatting>
  <conditionalFormatting sqref="XEV80">
    <cfRule type="duplicateValues" dxfId="0" priority="3488"/>
  </conditionalFormatting>
  <conditionalFormatting sqref="XFA80">
    <cfRule type="duplicateValues" dxfId="0" priority="3503"/>
  </conditionalFormatting>
  <conditionalFormatting sqref="A81">
    <cfRule type="duplicateValues" dxfId="0" priority="3517"/>
  </conditionalFormatting>
  <conditionalFormatting sqref="H81"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</conditionalFormatting>
  <conditionalFormatting sqref="J81"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</conditionalFormatting>
  <conditionalFormatting sqref="K81"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</conditionalFormatting>
  <conditionalFormatting sqref="L81"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  <cfRule type="duplicateValues" dxfId="0" priority="2422"/>
    <cfRule type="duplicateValues" dxfId="0" priority="2437"/>
    <cfRule type="duplicateValues" dxfId="0" priority="2452"/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</conditionalFormatting>
  <conditionalFormatting sqref="M81"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</conditionalFormatting>
  <conditionalFormatting sqref="XEV81">
    <cfRule type="duplicateValues" dxfId="0" priority="3487"/>
  </conditionalFormatting>
  <conditionalFormatting sqref="XFA81">
    <cfRule type="duplicateValues" dxfId="0" priority="3502"/>
  </conditionalFormatting>
  <conditionalFormatting sqref="A82">
    <cfRule type="duplicateValues" dxfId="0" priority="3516"/>
  </conditionalFormatting>
  <conditionalFormatting sqref="H82"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</conditionalFormatting>
  <conditionalFormatting sqref="J82"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</conditionalFormatting>
  <conditionalFormatting sqref="K82"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</conditionalFormatting>
  <conditionalFormatting sqref="L82"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  <cfRule type="duplicateValues" dxfId="0" priority="2421"/>
    <cfRule type="duplicateValues" dxfId="0" priority="2436"/>
    <cfRule type="duplicateValues" dxfId="0" priority="2451"/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</conditionalFormatting>
  <conditionalFormatting sqref="M82"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</conditionalFormatting>
  <conditionalFormatting sqref="XEV82">
    <cfRule type="duplicateValues" dxfId="0" priority="3486"/>
  </conditionalFormatting>
  <conditionalFormatting sqref="XFA82">
    <cfRule type="duplicateValues" dxfId="0" priority="3501"/>
  </conditionalFormatting>
  <conditionalFormatting sqref="A83">
    <cfRule type="duplicateValues" dxfId="0" priority="3515"/>
  </conditionalFormatting>
  <conditionalFormatting sqref="H83"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</conditionalFormatting>
  <conditionalFormatting sqref="J83"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</conditionalFormatting>
  <conditionalFormatting sqref="K83"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</conditionalFormatting>
  <conditionalFormatting sqref="L83"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  <cfRule type="duplicateValues" dxfId="0" priority="2420"/>
    <cfRule type="duplicateValues" dxfId="0" priority="2435"/>
    <cfRule type="duplicateValues" dxfId="0" priority="2450"/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</conditionalFormatting>
  <conditionalFormatting sqref="M83"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</conditionalFormatting>
  <conditionalFormatting sqref="XEV83">
    <cfRule type="duplicateValues" dxfId="0" priority="3485"/>
  </conditionalFormatting>
  <conditionalFormatting sqref="XFA83">
    <cfRule type="duplicateValues" dxfId="0" priority="3500"/>
  </conditionalFormatting>
  <conditionalFormatting sqref="A84">
    <cfRule type="duplicateValues" dxfId="0" priority="3514"/>
  </conditionalFormatting>
  <conditionalFormatting sqref="H84"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</conditionalFormatting>
  <conditionalFormatting sqref="J84"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</conditionalFormatting>
  <conditionalFormatting sqref="K84"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</conditionalFormatting>
  <conditionalFormatting sqref="L84"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  <cfRule type="duplicateValues" dxfId="0" priority="2419"/>
    <cfRule type="duplicateValues" dxfId="0" priority="2434"/>
    <cfRule type="duplicateValues" dxfId="0" priority="2449"/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</conditionalFormatting>
  <conditionalFormatting sqref="M84"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</conditionalFormatting>
  <conditionalFormatting sqref="XEV84">
    <cfRule type="duplicateValues" dxfId="0" priority="3484"/>
  </conditionalFormatting>
  <conditionalFormatting sqref="XFA84">
    <cfRule type="duplicateValues" dxfId="0" priority="3499"/>
  </conditionalFormatting>
  <conditionalFormatting sqref="A85">
    <cfRule type="duplicateValues" dxfId="0" priority="3513"/>
  </conditionalFormatting>
  <conditionalFormatting sqref="H85"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</conditionalFormatting>
  <conditionalFormatting sqref="J85"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</conditionalFormatting>
  <conditionalFormatting sqref="K85"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</conditionalFormatting>
  <conditionalFormatting sqref="L85"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  <cfRule type="duplicateValues" dxfId="0" priority="2418"/>
    <cfRule type="duplicateValues" dxfId="0" priority="2433"/>
    <cfRule type="duplicateValues" dxfId="0" priority="2448"/>
    <cfRule type="duplicateValues" dxfId="0" priority="2463"/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</conditionalFormatting>
  <conditionalFormatting sqref="M85"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</conditionalFormatting>
  <conditionalFormatting sqref="XEV85">
    <cfRule type="duplicateValues" dxfId="0" priority="3483"/>
  </conditionalFormatting>
  <conditionalFormatting sqref="XFA85">
    <cfRule type="duplicateValues" dxfId="0" priority="3498"/>
  </conditionalFormatting>
  <conditionalFormatting sqref="A86">
    <cfRule type="duplicateValues" dxfId="0" priority="3512"/>
  </conditionalFormatting>
  <conditionalFormatting sqref="H86"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</conditionalFormatting>
  <conditionalFormatting sqref="J86"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</conditionalFormatting>
  <conditionalFormatting sqref="K86"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</conditionalFormatting>
  <conditionalFormatting sqref="L86"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  <cfRule type="duplicateValues" dxfId="0" priority="2417"/>
    <cfRule type="duplicateValues" dxfId="0" priority="2432"/>
    <cfRule type="duplicateValues" dxfId="0" priority="2447"/>
    <cfRule type="duplicateValues" dxfId="0" priority="2462"/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</conditionalFormatting>
  <conditionalFormatting sqref="M86"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</conditionalFormatting>
  <conditionalFormatting sqref="XEV86">
    <cfRule type="duplicateValues" dxfId="0" priority="3482"/>
  </conditionalFormatting>
  <conditionalFormatting sqref="XFA86">
    <cfRule type="duplicateValues" dxfId="0" priority="3497"/>
  </conditionalFormatting>
  <conditionalFormatting sqref="A87">
    <cfRule type="duplicateValues" dxfId="0" priority="3511"/>
  </conditionalFormatting>
  <conditionalFormatting sqref="H87"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</conditionalFormatting>
  <conditionalFormatting sqref="J87"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</conditionalFormatting>
  <conditionalFormatting sqref="K87"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</conditionalFormatting>
  <conditionalFormatting sqref="L87"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  <cfRule type="duplicateValues" dxfId="0" priority="2416"/>
    <cfRule type="duplicateValues" dxfId="0" priority="2431"/>
    <cfRule type="duplicateValues" dxfId="0" priority="2446"/>
    <cfRule type="duplicateValues" dxfId="0" priority="2461"/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</conditionalFormatting>
  <conditionalFormatting sqref="M87"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</conditionalFormatting>
  <conditionalFormatting sqref="XEV87">
    <cfRule type="duplicateValues" dxfId="0" priority="3481"/>
  </conditionalFormatting>
  <conditionalFormatting sqref="XFA87">
    <cfRule type="duplicateValues" dxfId="0" priority="3496"/>
  </conditionalFormatting>
  <conditionalFormatting sqref="A88">
    <cfRule type="duplicateValues" dxfId="0" priority="3510"/>
  </conditionalFormatting>
  <conditionalFormatting sqref="H88"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</conditionalFormatting>
  <conditionalFormatting sqref="J88"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</conditionalFormatting>
  <conditionalFormatting sqref="K88"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</conditionalFormatting>
  <conditionalFormatting sqref="L88"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  <cfRule type="duplicateValues" dxfId="0" priority="2415"/>
    <cfRule type="duplicateValues" dxfId="0" priority="2430"/>
    <cfRule type="duplicateValues" dxfId="0" priority="2445"/>
    <cfRule type="duplicateValues" dxfId="0" priority="2460"/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</conditionalFormatting>
  <conditionalFormatting sqref="M88"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</conditionalFormatting>
  <conditionalFormatting sqref="XEV88">
    <cfRule type="duplicateValues" dxfId="0" priority="3480"/>
  </conditionalFormatting>
  <conditionalFormatting sqref="XFA88">
    <cfRule type="duplicateValues" dxfId="0" priority="3495"/>
  </conditionalFormatting>
  <conditionalFormatting sqref="A89">
    <cfRule type="duplicateValues" dxfId="0" priority="3509"/>
  </conditionalFormatting>
  <conditionalFormatting sqref="H89"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</conditionalFormatting>
  <conditionalFormatting sqref="J89"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</conditionalFormatting>
  <conditionalFormatting sqref="K89"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</conditionalFormatting>
  <conditionalFormatting sqref="L89"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  <cfRule type="duplicateValues" dxfId="0" priority="2429"/>
    <cfRule type="duplicateValues" dxfId="0" priority="2444"/>
    <cfRule type="duplicateValues" dxfId="0" priority="2459"/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</conditionalFormatting>
  <conditionalFormatting sqref="M89"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</conditionalFormatting>
  <conditionalFormatting sqref="XEV89">
    <cfRule type="duplicateValues" dxfId="0" priority="3479"/>
  </conditionalFormatting>
  <conditionalFormatting sqref="XFA89">
    <cfRule type="duplicateValues" dxfId="0" priority="3494"/>
  </conditionalFormatting>
  <conditionalFormatting sqref="A90">
    <cfRule type="duplicateValues" dxfId="0" priority="3508"/>
  </conditionalFormatting>
  <conditionalFormatting sqref="H90"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</conditionalFormatting>
  <conditionalFormatting sqref="J90"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</conditionalFormatting>
  <conditionalFormatting sqref="K90"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</conditionalFormatting>
  <conditionalFormatting sqref="L90"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  <cfRule type="duplicateValues" dxfId="0" priority="2428"/>
    <cfRule type="duplicateValues" dxfId="0" priority="2443"/>
    <cfRule type="duplicateValues" dxfId="0" priority="2458"/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</conditionalFormatting>
  <conditionalFormatting sqref="M90"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</conditionalFormatting>
  <conditionalFormatting sqref="XEV90">
    <cfRule type="duplicateValues" dxfId="0" priority="3478"/>
  </conditionalFormatting>
  <conditionalFormatting sqref="XFA90">
    <cfRule type="duplicateValues" dxfId="0" priority="3493"/>
  </conditionalFormatting>
  <conditionalFormatting sqref="A91">
    <cfRule type="duplicateValues" dxfId="0" priority="3507"/>
  </conditionalFormatting>
  <conditionalFormatting sqref="H91"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</conditionalFormatting>
  <conditionalFormatting sqref="J91"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</conditionalFormatting>
  <conditionalFormatting sqref="K91"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</conditionalFormatting>
  <conditionalFormatting sqref="L91"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  <cfRule type="duplicateValues" dxfId="0" priority="2427"/>
    <cfRule type="duplicateValues" dxfId="0" priority="2442"/>
    <cfRule type="duplicateValues" dxfId="0" priority="2457"/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</conditionalFormatting>
  <conditionalFormatting sqref="M91"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</conditionalFormatting>
  <conditionalFormatting sqref="XEV91">
    <cfRule type="duplicateValues" dxfId="0" priority="3477"/>
  </conditionalFormatting>
  <conditionalFormatting sqref="XFA91">
    <cfRule type="duplicateValues" dxfId="0" priority="3492"/>
  </conditionalFormatting>
  <conditionalFormatting sqref="A92">
    <cfRule type="duplicateValues" dxfId="0" priority="3506"/>
  </conditionalFormatting>
  <conditionalFormatting sqref="H92"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</conditionalFormatting>
  <conditionalFormatting sqref="J92"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</conditionalFormatting>
  <conditionalFormatting sqref="K92"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</conditionalFormatting>
  <conditionalFormatting sqref="L92"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  <cfRule type="duplicateValues" dxfId="0" priority="2426"/>
    <cfRule type="duplicateValues" dxfId="0" priority="2441"/>
    <cfRule type="duplicateValues" dxfId="0" priority="2456"/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</conditionalFormatting>
  <conditionalFormatting sqref="M92"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</conditionalFormatting>
  <conditionalFormatting sqref="XEV92">
    <cfRule type="duplicateValues" dxfId="0" priority="3476"/>
  </conditionalFormatting>
  <conditionalFormatting sqref="XFA92">
    <cfRule type="duplicateValues" dxfId="0" priority="3491"/>
  </conditionalFormatting>
  <conditionalFormatting sqref="A93">
    <cfRule type="duplicateValues" dxfId="0" priority="3505"/>
  </conditionalFormatting>
  <conditionalFormatting sqref="H93"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</conditionalFormatting>
  <conditionalFormatting sqref="J93"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</conditionalFormatting>
  <conditionalFormatting sqref="K93"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</conditionalFormatting>
  <conditionalFormatting sqref="L93"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  <cfRule type="duplicateValues" dxfId="0" priority="2425"/>
    <cfRule type="duplicateValues" dxfId="0" priority="2440"/>
    <cfRule type="duplicateValues" dxfId="0" priority="2455"/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</conditionalFormatting>
  <conditionalFormatting sqref="M93"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</conditionalFormatting>
  <conditionalFormatting sqref="XEV93">
    <cfRule type="duplicateValues" dxfId="0" priority="3475"/>
  </conditionalFormatting>
  <conditionalFormatting sqref="XFA93">
    <cfRule type="duplicateValues" dxfId="0" priority="3490"/>
  </conditionalFormatting>
  <conditionalFormatting sqref="A94">
    <cfRule type="duplicateValues" dxfId="0" priority="3504"/>
  </conditionalFormatting>
  <conditionalFormatting sqref="H94"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</conditionalFormatting>
  <conditionalFormatting sqref="J94"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</conditionalFormatting>
  <conditionalFormatting sqref="K94"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</conditionalFormatting>
  <conditionalFormatting sqref="L94"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  <cfRule type="duplicateValues" dxfId="0" priority="2424"/>
    <cfRule type="duplicateValues" dxfId="0" priority="2439"/>
    <cfRule type="duplicateValues" dxfId="0" priority="2454"/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</conditionalFormatting>
  <conditionalFormatting sqref="M94"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</conditionalFormatting>
  <conditionalFormatting sqref="XEV94">
    <cfRule type="duplicateValues" dxfId="0" priority="3474"/>
  </conditionalFormatting>
  <conditionalFormatting sqref="XFA94">
    <cfRule type="duplicateValues" dxfId="0" priority="3489"/>
  </conditionalFormatting>
  <conditionalFormatting sqref="A95">
    <cfRule type="duplicateValues" dxfId="0" priority="2073"/>
  </conditionalFormatting>
  <conditionalFormatting sqref="H95"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  <cfRule type="duplicateValues" dxfId="0" priority="2243"/>
    <cfRule type="duplicateValues" dxfId="0" priority="2253"/>
    <cfRule type="duplicateValues" dxfId="0" priority="2263"/>
    <cfRule type="duplicateValues" dxfId="0" priority="2273"/>
  </conditionalFormatting>
  <conditionalFormatting sqref="J95"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  <cfRule type="duplicateValues" dxfId="0" priority="2043"/>
  </conditionalFormatting>
  <conditionalFormatting sqref="K95"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  <cfRule type="duplicateValues" dxfId="0" priority="1843"/>
  </conditionalFormatting>
  <conditionalFormatting sqref="L95">
    <cfRule type="duplicateValues" dxfId="0" priority="1253"/>
    <cfRule type="duplicateValues" dxfId="0" priority="1263"/>
    <cfRule type="duplicateValues" dxfId="0" priority="1273"/>
    <cfRule type="duplicateValues" dxfId="0" priority="1283"/>
    <cfRule type="duplicateValues" dxfId="0" priority="1293"/>
    <cfRule type="duplicateValues" dxfId="0" priority="1303"/>
    <cfRule type="duplicateValues" dxfId="0" priority="1313"/>
    <cfRule type="duplicateValues" dxfId="0" priority="1323"/>
    <cfRule type="duplicateValues" dxfId="0" priority="1333"/>
    <cfRule type="duplicateValues" dxfId="0" priority="1343"/>
    <cfRule type="duplicateValues" dxfId="0" priority="1353"/>
    <cfRule type="duplicateValues" dxfId="0" priority="1363"/>
    <cfRule type="duplicateValues" dxfId="0" priority="1373"/>
    <cfRule type="duplicateValues" dxfId="0" priority="1383"/>
    <cfRule type="duplicateValues" dxfId="0" priority="1393"/>
    <cfRule type="duplicateValues" dxfId="0" priority="1403"/>
    <cfRule type="duplicateValues" dxfId="0" priority="1413"/>
    <cfRule type="duplicateValues" dxfId="0" priority="1423"/>
    <cfRule type="duplicateValues" dxfId="0" priority="1433"/>
    <cfRule type="duplicateValues" dxfId="0" priority="1443"/>
  </conditionalFormatting>
  <conditionalFormatting sqref="M95"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  <cfRule type="duplicateValues" dxfId="0" priority="1643"/>
  </conditionalFormatting>
  <conditionalFormatting sqref="XEV95">
    <cfRule type="duplicateValues" dxfId="0" priority="2053"/>
  </conditionalFormatting>
  <conditionalFormatting sqref="XFA95">
    <cfRule type="duplicateValues" dxfId="0" priority="2063"/>
  </conditionalFormatting>
  <conditionalFormatting sqref="A96">
    <cfRule type="duplicateValues" dxfId="0" priority="2072"/>
  </conditionalFormatting>
  <conditionalFormatting sqref="H96"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  <cfRule type="duplicateValues" dxfId="0" priority="2242"/>
    <cfRule type="duplicateValues" dxfId="0" priority="2252"/>
    <cfRule type="duplicateValues" dxfId="0" priority="2262"/>
    <cfRule type="duplicateValues" dxfId="0" priority="2272"/>
  </conditionalFormatting>
  <conditionalFormatting sqref="J96"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  <cfRule type="duplicateValues" dxfId="0" priority="2042"/>
  </conditionalFormatting>
  <conditionalFormatting sqref="K96"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  <cfRule type="duplicateValues" dxfId="0" priority="1842"/>
  </conditionalFormatting>
  <conditionalFormatting sqref="L96">
    <cfRule type="duplicateValues" dxfId="0" priority="1252"/>
    <cfRule type="duplicateValues" dxfId="0" priority="1262"/>
    <cfRule type="duplicateValues" dxfId="0" priority="1272"/>
    <cfRule type="duplicateValues" dxfId="0" priority="1282"/>
    <cfRule type="duplicateValues" dxfId="0" priority="1292"/>
    <cfRule type="duplicateValues" dxfId="0" priority="1302"/>
    <cfRule type="duplicateValues" dxfId="0" priority="1312"/>
    <cfRule type="duplicateValues" dxfId="0" priority="1322"/>
    <cfRule type="duplicateValues" dxfId="0" priority="1332"/>
    <cfRule type="duplicateValues" dxfId="0" priority="1342"/>
    <cfRule type="duplicateValues" dxfId="0" priority="1352"/>
    <cfRule type="duplicateValues" dxfId="0" priority="1362"/>
    <cfRule type="duplicateValues" dxfId="0" priority="1372"/>
    <cfRule type="duplicateValues" dxfId="0" priority="1382"/>
    <cfRule type="duplicateValues" dxfId="0" priority="1392"/>
    <cfRule type="duplicateValues" dxfId="0" priority="1402"/>
    <cfRule type="duplicateValues" dxfId="0" priority="1412"/>
    <cfRule type="duplicateValues" dxfId="0" priority="1422"/>
    <cfRule type="duplicateValues" dxfId="0" priority="1432"/>
    <cfRule type="duplicateValues" dxfId="0" priority="1442"/>
  </conditionalFormatting>
  <conditionalFormatting sqref="M96"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  <cfRule type="duplicateValues" dxfId="0" priority="1642"/>
  </conditionalFormatting>
  <conditionalFormatting sqref="XEV96">
    <cfRule type="duplicateValues" dxfId="0" priority="2052"/>
  </conditionalFormatting>
  <conditionalFormatting sqref="XFA96">
    <cfRule type="duplicateValues" dxfId="0" priority="2062"/>
  </conditionalFormatting>
  <conditionalFormatting sqref="A97">
    <cfRule type="duplicateValues" dxfId="0" priority="2071"/>
  </conditionalFormatting>
  <conditionalFormatting sqref="H97"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  <cfRule type="duplicateValues" dxfId="0" priority="2241"/>
    <cfRule type="duplicateValues" dxfId="0" priority="2251"/>
    <cfRule type="duplicateValues" dxfId="0" priority="2261"/>
    <cfRule type="duplicateValues" dxfId="0" priority="2271"/>
  </conditionalFormatting>
  <conditionalFormatting sqref="J97"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  <cfRule type="duplicateValues" dxfId="0" priority="2041"/>
  </conditionalFormatting>
  <conditionalFormatting sqref="K97"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  <cfRule type="duplicateValues" dxfId="0" priority="1841"/>
  </conditionalFormatting>
  <conditionalFormatting sqref="L97">
    <cfRule type="duplicateValues" dxfId="0" priority="1251"/>
    <cfRule type="duplicateValues" dxfId="0" priority="1261"/>
    <cfRule type="duplicateValues" dxfId="0" priority="1271"/>
    <cfRule type="duplicateValues" dxfId="0" priority="1281"/>
    <cfRule type="duplicateValues" dxfId="0" priority="1291"/>
    <cfRule type="duplicateValues" dxfId="0" priority="1301"/>
    <cfRule type="duplicateValues" dxfId="0" priority="1311"/>
    <cfRule type="duplicateValues" dxfId="0" priority="1321"/>
    <cfRule type="duplicateValues" dxfId="0" priority="1331"/>
    <cfRule type="duplicateValues" dxfId="0" priority="1341"/>
    <cfRule type="duplicateValues" dxfId="0" priority="1351"/>
    <cfRule type="duplicateValues" dxfId="0" priority="1361"/>
    <cfRule type="duplicateValues" dxfId="0" priority="1371"/>
    <cfRule type="duplicateValues" dxfId="0" priority="1381"/>
    <cfRule type="duplicateValues" dxfId="0" priority="1391"/>
    <cfRule type="duplicateValues" dxfId="0" priority="1401"/>
    <cfRule type="duplicateValues" dxfId="0" priority="1411"/>
    <cfRule type="duplicateValues" dxfId="0" priority="1421"/>
    <cfRule type="duplicateValues" dxfId="0" priority="1431"/>
    <cfRule type="duplicateValues" dxfId="0" priority="1441"/>
  </conditionalFormatting>
  <conditionalFormatting sqref="M97"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  <cfRule type="duplicateValues" dxfId="0" priority="1641"/>
  </conditionalFormatting>
  <conditionalFormatting sqref="XEV97">
    <cfRule type="duplicateValues" dxfId="0" priority="2051"/>
  </conditionalFormatting>
  <conditionalFormatting sqref="XFA97">
    <cfRule type="duplicateValues" dxfId="0" priority="2061"/>
  </conditionalFormatting>
  <conditionalFormatting sqref="A98">
    <cfRule type="duplicateValues" dxfId="0" priority="2070"/>
  </conditionalFormatting>
  <conditionalFormatting sqref="H98"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  <cfRule type="duplicateValues" dxfId="0" priority="2240"/>
    <cfRule type="duplicateValues" dxfId="0" priority="2250"/>
    <cfRule type="duplicateValues" dxfId="0" priority="2260"/>
    <cfRule type="duplicateValues" dxfId="0" priority="2270"/>
  </conditionalFormatting>
  <conditionalFormatting sqref="J98"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  <cfRule type="duplicateValues" dxfId="0" priority="2040"/>
  </conditionalFormatting>
  <conditionalFormatting sqref="K98"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  <cfRule type="duplicateValues" dxfId="0" priority="1840"/>
  </conditionalFormatting>
  <conditionalFormatting sqref="L98">
    <cfRule type="duplicateValues" dxfId="0" priority="1250"/>
    <cfRule type="duplicateValues" dxfId="0" priority="1260"/>
    <cfRule type="duplicateValues" dxfId="0" priority="1270"/>
    <cfRule type="duplicateValues" dxfId="0" priority="1280"/>
    <cfRule type="duplicateValues" dxfId="0" priority="1290"/>
    <cfRule type="duplicateValues" dxfId="0" priority="1300"/>
    <cfRule type="duplicateValues" dxfId="0" priority="1310"/>
    <cfRule type="duplicateValues" dxfId="0" priority="1320"/>
    <cfRule type="duplicateValues" dxfId="0" priority="1330"/>
    <cfRule type="duplicateValues" dxfId="0" priority="1340"/>
    <cfRule type="duplicateValues" dxfId="0" priority="1350"/>
    <cfRule type="duplicateValues" dxfId="0" priority="1360"/>
    <cfRule type="duplicateValues" dxfId="0" priority="1370"/>
    <cfRule type="duplicateValues" dxfId="0" priority="1380"/>
    <cfRule type="duplicateValues" dxfId="0" priority="1390"/>
    <cfRule type="duplicateValues" dxfId="0" priority="1400"/>
    <cfRule type="duplicateValues" dxfId="0" priority="1410"/>
    <cfRule type="duplicateValues" dxfId="0" priority="1420"/>
    <cfRule type="duplicateValues" dxfId="0" priority="1430"/>
    <cfRule type="duplicateValues" dxfId="0" priority="1440"/>
  </conditionalFormatting>
  <conditionalFormatting sqref="M98"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  <cfRule type="duplicateValues" dxfId="0" priority="1640"/>
  </conditionalFormatting>
  <conditionalFormatting sqref="XEV98">
    <cfRule type="duplicateValues" dxfId="0" priority="2050"/>
  </conditionalFormatting>
  <conditionalFormatting sqref="XFA98">
    <cfRule type="duplicateValues" dxfId="0" priority="2060"/>
  </conditionalFormatting>
  <conditionalFormatting sqref="A99">
    <cfRule type="duplicateValues" dxfId="0" priority="2069"/>
  </conditionalFormatting>
  <conditionalFormatting sqref="H99"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  <cfRule type="duplicateValues" dxfId="0" priority="2239"/>
    <cfRule type="duplicateValues" dxfId="0" priority="2249"/>
    <cfRule type="duplicateValues" dxfId="0" priority="2259"/>
    <cfRule type="duplicateValues" dxfId="0" priority="2269"/>
  </conditionalFormatting>
  <conditionalFormatting sqref="J99"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  <cfRule type="duplicateValues" dxfId="0" priority="2039"/>
  </conditionalFormatting>
  <conditionalFormatting sqref="K99"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  <cfRule type="duplicateValues" dxfId="0" priority="1839"/>
  </conditionalFormatting>
  <conditionalFormatting sqref="L99">
    <cfRule type="duplicateValues" dxfId="0" priority="1249"/>
    <cfRule type="duplicateValues" dxfId="0" priority="1259"/>
    <cfRule type="duplicateValues" dxfId="0" priority="1269"/>
    <cfRule type="duplicateValues" dxfId="0" priority="1279"/>
    <cfRule type="duplicateValues" dxfId="0" priority="1289"/>
    <cfRule type="duplicateValues" dxfId="0" priority="1299"/>
    <cfRule type="duplicateValues" dxfId="0" priority="1309"/>
    <cfRule type="duplicateValues" dxfId="0" priority="1319"/>
    <cfRule type="duplicateValues" dxfId="0" priority="1329"/>
    <cfRule type="duplicateValues" dxfId="0" priority="1339"/>
    <cfRule type="duplicateValues" dxfId="0" priority="1349"/>
    <cfRule type="duplicateValues" dxfId="0" priority="1359"/>
    <cfRule type="duplicateValues" dxfId="0" priority="1369"/>
    <cfRule type="duplicateValues" dxfId="0" priority="1379"/>
    <cfRule type="duplicateValues" dxfId="0" priority="1389"/>
    <cfRule type="duplicateValues" dxfId="0" priority="1399"/>
    <cfRule type="duplicateValues" dxfId="0" priority="1409"/>
    <cfRule type="duplicateValues" dxfId="0" priority="1419"/>
    <cfRule type="duplicateValues" dxfId="0" priority="1429"/>
    <cfRule type="duplicateValues" dxfId="0" priority="1439"/>
  </conditionalFormatting>
  <conditionalFormatting sqref="M99"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  <cfRule type="duplicateValues" dxfId="0" priority="1639"/>
  </conditionalFormatting>
  <conditionalFormatting sqref="XEV99">
    <cfRule type="duplicateValues" dxfId="0" priority="2049"/>
  </conditionalFormatting>
  <conditionalFormatting sqref="XFA99">
    <cfRule type="duplicateValues" dxfId="0" priority="2059"/>
  </conditionalFormatting>
  <conditionalFormatting sqref="A100">
    <cfRule type="duplicateValues" dxfId="0" priority="2068"/>
  </conditionalFormatting>
  <conditionalFormatting sqref="H100"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  <cfRule type="duplicateValues" dxfId="0" priority="2238"/>
    <cfRule type="duplicateValues" dxfId="0" priority="2248"/>
    <cfRule type="duplicateValues" dxfId="0" priority="2258"/>
    <cfRule type="duplicateValues" dxfId="0" priority="2268"/>
  </conditionalFormatting>
  <conditionalFormatting sqref="J100"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  <cfRule type="duplicateValues" dxfId="0" priority="2038"/>
  </conditionalFormatting>
  <conditionalFormatting sqref="K100"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  <cfRule type="duplicateValues" dxfId="0" priority="1838"/>
  </conditionalFormatting>
  <conditionalFormatting sqref="L100">
    <cfRule type="duplicateValues" dxfId="0" priority="1248"/>
    <cfRule type="duplicateValues" dxfId="0" priority="1258"/>
    <cfRule type="duplicateValues" dxfId="0" priority="1268"/>
    <cfRule type="duplicateValues" dxfId="0" priority="1278"/>
    <cfRule type="duplicateValues" dxfId="0" priority="1288"/>
    <cfRule type="duplicateValues" dxfId="0" priority="1298"/>
    <cfRule type="duplicateValues" dxfId="0" priority="1308"/>
    <cfRule type="duplicateValues" dxfId="0" priority="1318"/>
    <cfRule type="duplicateValues" dxfId="0" priority="1328"/>
    <cfRule type="duplicateValues" dxfId="0" priority="1338"/>
    <cfRule type="duplicateValues" dxfId="0" priority="1348"/>
    <cfRule type="duplicateValues" dxfId="0" priority="1358"/>
    <cfRule type="duplicateValues" dxfId="0" priority="1368"/>
    <cfRule type="duplicateValues" dxfId="0" priority="1378"/>
    <cfRule type="duplicateValues" dxfId="0" priority="1388"/>
    <cfRule type="duplicateValues" dxfId="0" priority="1398"/>
    <cfRule type="duplicateValues" dxfId="0" priority="1408"/>
    <cfRule type="duplicateValues" dxfId="0" priority="1418"/>
    <cfRule type="duplicateValues" dxfId="0" priority="1428"/>
    <cfRule type="duplicateValues" dxfId="0" priority="1438"/>
  </conditionalFormatting>
  <conditionalFormatting sqref="M100"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  <cfRule type="duplicateValues" dxfId="0" priority="1638"/>
  </conditionalFormatting>
  <conditionalFormatting sqref="XEV100">
    <cfRule type="duplicateValues" dxfId="0" priority="2048"/>
  </conditionalFormatting>
  <conditionalFormatting sqref="XFA100">
    <cfRule type="duplicateValues" dxfId="0" priority="2058"/>
  </conditionalFormatting>
  <conditionalFormatting sqref="A101">
    <cfRule type="duplicateValues" dxfId="0" priority="2067"/>
  </conditionalFormatting>
  <conditionalFormatting sqref="H101"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  <cfRule type="duplicateValues" dxfId="0" priority="2237"/>
    <cfRule type="duplicateValues" dxfId="0" priority="2247"/>
    <cfRule type="duplicateValues" dxfId="0" priority="2257"/>
    <cfRule type="duplicateValues" dxfId="0" priority="2267"/>
  </conditionalFormatting>
  <conditionalFormatting sqref="J101"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  <cfRule type="duplicateValues" dxfId="0" priority="2037"/>
  </conditionalFormatting>
  <conditionalFormatting sqref="K101"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  <cfRule type="duplicateValues" dxfId="0" priority="1837"/>
  </conditionalFormatting>
  <conditionalFormatting sqref="L101">
    <cfRule type="duplicateValues" dxfId="0" priority="1247"/>
    <cfRule type="duplicateValues" dxfId="0" priority="1257"/>
    <cfRule type="duplicateValues" dxfId="0" priority="1267"/>
    <cfRule type="duplicateValues" dxfId="0" priority="1277"/>
    <cfRule type="duplicateValues" dxfId="0" priority="1287"/>
    <cfRule type="duplicateValues" dxfId="0" priority="1297"/>
    <cfRule type="duplicateValues" dxfId="0" priority="1307"/>
    <cfRule type="duplicateValues" dxfId="0" priority="1317"/>
    <cfRule type="duplicateValues" dxfId="0" priority="1327"/>
    <cfRule type="duplicateValues" dxfId="0" priority="1337"/>
    <cfRule type="duplicateValues" dxfId="0" priority="1347"/>
    <cfRule type="duplicateValues" dxfId="0" priority="1357"/>
    <cfRule type="duplicateValues" dxfId="0" priority="1367"/>
    <cfRule type="duplicateValues" dxfId="0" priority="1377"/>
    <cfRule type="duplicateValues" dxfId="0" priority="1387"/>
    <cfRule type="duplicateValues" dxfId="0" priority="1397"/>
    <cfRule type="duplicateValues" dxfId="0" priority="1407"/>
    <cfRule type="duplicateValues" dxfId="0" priority="1417"/>
    <cfRule type="duplicateValues" dxfId="0" priority="1427"/>
    <cfRule type="duplicateValues" dxfId="0" priority="1437"/>
  </conditionalFormatting>
  <conditionalFormatting sqref="M101"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  <cfRule type="duplicateValues" dxfId="0" priority="1637"/>
  </conditionalFormatting>
  <conditionalFormatting sqref="XEV101">
    <cfRule type="duplicateValues" dxfId="0" priority="2047"/>
  </conditionalFormatting>
  <conditionalFormatting sqref="XFA101">
    <cfRule type="duplicateValues" dxfId="0" priority="2057"/>
  </conditionalFormatting>
  <conditionalFormatting sqref="A102">
    <cfRule type="duplicateValues" dxfId="0" priority="2066"/>
  </conditionalFormatting>
  <conditionalFormatting sqref="H102"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  <cfRule type="duplicateValues" dxfId="0" priority="2236"/>
    <cfRule type="duplicateValues" dxfId="0" priority="2246"/>
    <cfRule type="duplicateValues" dxfId="0" priority="2256"/>
    <cfRule type="duplicateValues" dxfId="0" priority="2266"/>
  </conditionalFormatting>
  <conditionalFormatting sqref="J102"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  <cfRule type="duplicateValues" dxfId="0" priority="2036"/>
  </conditionalFormatting>
  <conditionalFormatting sqref="K102"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  <cfRule type="duplicateValues" dxfId="0" priority="1836"/>
  </conditionalFormatting>
  <conditionalFormatting sqref="L102">
    <cfRule type="duplicateValues" dxfId="0" priority="1246"/>
    <cfRule type="duplicateValues" dxfId="0" priority="1256"/>
    <cfRule type="duplicateValues" dxfId="0" priority="1266"/>
    <cfRule type="duplicateValues" dxfId="0" priority="1276"/>
    <cfRule type="duplicateValues" dxfId="0" priority="1286"/>
    <cfRule type="duplicateValues" dxfId="0" priority="1296"/>
    <cfRule type="duplicateValues" dxfId="0" priority="1306"/>
    <cfRule type="duplicateValues" dxfId="0" priority="1316"/>
    <cfRule type="duplicateValues" dxfId="0" priority="1326"/>
    <cfRule type="duplicateValues" dxfId="0" priority="1336"/>
    <cfRule type="duplicateValues" dxfId="0" priority="1346"/>
    <cfRule type="duplicateValues" dxfId="0" priority="1356"/>
    <cfRule type="duplicateValues" dxfId="0" priority="1366"/>
    <cfRule type="duplicateValues" dxfId="0" priority="1376"/>
    <cfRule type="duplicateValues" dxfId="0" priority="1386"/>
    <cfRule type="duplicateValues" dxfId="0" priority="1396"/>
    <cfRule type="duplicateValues" dxfId="0" priority="1406"/>
    <cfRule type="duplicateValues" dxfId="0" priority="1416"/>
    <cfRule type="duplicateValues" dxfId="0" priority="1426"/>
    <cfRule type="duplicateValues" dxfId="0" priority="1436"/>
  </conditionalFormatting>
  <conditionalFormatting sqref="M102"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  <cfRule type="duplicateValues" dxfId="0" priority="1636"/>
  </conditionalFormatting>
  <conditionalFormatting sqref="XEV102">
    <cfRule type="duplicateValues" dxfId="0" priority="2046"/>
  </conditionalFormatting>
  <conditionalFormatting sqref="XFA102">
    <cfRule type="duplicateValues" dxfId="0" priority="2056"/>
  </conditionalFormatting>
  <conditionalFormatting sqref="A103">
    <cfRule type="duplicateValues" dxfId="0" priority="2065"/>
  </conditionalFormatting>
  <conditionalFormatting sqref="H103"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  <cfRule type="duplicateValues" dxfId="0" priority="2235"/>
    <cfRule type="duplicateValues" dxfId="0" priority="2245"/>
    <cfRule type="duplicateValues" dxfId="0" priority="2255"/>
    <cfRule type="duplicateValues" dxfId="0" priority="2265"/>
  </conditionalFormatting>
  <conditionalFormatting sqref="J103"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  <cfRule type="duplicateValues" dxfId="0" priority="2035"/>
  </conditionalFormatting>
  <conditionalFormatting sqref="K103"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  <cfRule type="duplicateValues" dxfId="0" priority="1835"/>
  </conditionalFormatting>
  <conditionalFormatting sqref="L103">
    <cfRule type="duplicateValues" dxfId="0" priority="1245"/>
    <cfRule type="duplicateValues" dxfId="0" priority="1255"/>
    <cfRule type="duplicateValues" dxfId="0" priority="1265"/>
    <cfRule type="duplicateValues" dxfId="0" priority="1275"/>
    <cfRule type="duplicateValues" dxfId="0" priority="1285"/>
    <cfRule type="duplicateValues" dxfId="0" priority="1295"/>
    <cfRule type="duplicateValues" dxfId="0" priority="1305"/>
    <cfRule type="duplicateValues" dxfId="0" priority="1315"/>
    <cfRule type="duplicateValues" dxfId="0" priority="1325"/>
    <cfRule type="duplicateValues" dxfId="0" priority="1335"/>
    <cfRule type="duplicateValues" dxfId="0" priority="1345"/>
    <cfRule type="duplicateValues" dxfId="0" priority="1355"/>
    <cfRule type="duplicateValues" dxfId="0" priority="1365"/>
    <cfRule type="duplicateValues" dxfId="0" priority="1375"/>
    <cfRule type="duplicateValues" dxfId="0" priority="1385"/>
    <cfRule type="duplicateValues" dxfId="0" priority="1395"/>
    <cfRule type="duplicateValues" dxfId="0" priority="1405"/>
    <cfRule type="duplicateValues" dxfId="0" priority="1415"/>
    <cfRule type="duplicateValues" dxfId="0" priority="1425"/>
    <cfRule type="duplicateValues" dxfId="0" priority="1435"/>
  </conditionalFormatting>
  <conditionalFormatting sqref="M103"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  <cfRule type="duplicateValues" dxfId="0" priority="1635"/>
  </conditionalFormatting>
  <conditionalFormatting sqref="XEV103">
    <cfRule type="duplicateValues" dxfId="0" priority="2045"/>
  </conditionalFormatting>
  <conditionalFormatting sqref="XFA103">
    <cfRule type="duplicateValues" dxfId="0" priority="2055"/>
  </conditionalFormatting>
  <conditionalFormatting sqref="A104">
    <cfRule type="duplicateValues" dxfId="0" priority="2064"/>
  </conditionalFormatting>
  <conditionalFormatting sqref="H104"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  <cfRule type="duplicateValues" dxfId="0" priority="2234"/>
    <cfRule type="duplicateValues" dxfId="0" priority="2244"/>
    <cfRule type="duplicateValues" dxfId="0" priority="2254"/>
    <cfRule type="duplicateValues" dxfId="0" priority="2264"/>
  </conditionalFormatting>
  <conditionalFormatting sqref="J104"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  <cfRule type="duplicateValues" dxfId="0" priority="2034"/>
  </conditionalFormatting>
  <conditionalFormatting sqref="K104"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  <cfRule type="duplicateValues" dxfId="0" priority="1834"/>
  </conditionalFormatting>
  <conditionalFormatting sqref="L104">
    <cfRule type="duplicateValues" dxfId="0" priority="1244"/>
    <cfRule type="duplicateValues" dxfId="0" priority="1254"/>
    <cfRule type="duplicateValues" dxfId="0" priority="1264"/>
    <cfRule type="duplicateValues" dxfId="0" priority="1274"/>
    <cfRule type="duplicateValues" dxfId="0" priority="1284"/>
    <cfRule type="duplicateValues" dxfId="0" priority="1294"/>
    <cfRule type="duplicateValues" dxfId="0" priority="1304"/>
    <cfRule type="duplicateValues" dxfId="0" priority="1314"/>
    <cfRule type="duplicateValues" dxfId="0" priority="1324"/>
    <cfRule type="duplicateValues" dxfId="0" priority="1334"/>
    <cfRule type="duplicateValues" dxfId="0" priority="1344"/>
    <cfRule type="duplicateValues" dxfId="0" priority="1354"/>
    <cfRule type="duplicateValues" dxfId="0" priority="1364"/>
    <cfRule type="duplicateValues" dxfId="0" priority="1374"/>
    <cfRule type="duplicateValues" dxfId="0" priority="1384"/>
    <cfRule type="duplicateValues" dxfId="0" priority="1394"/>
    <cfRule type="duplicateValues" dxfId="0" priority="1404"/>
    <cfRule type="duplicateValues" dxfId="0" priority="1414"/>
    <cfRule type="duplicateValues" dxfId="0" priority="1424"/>
    <cfRule type="duplicateValues" dxfId="0" priority="1434"/>
  </conditionalFormatting>
  <conditionalFormatting sqref="M104"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  <cfRule type="duplicateValues" dxfId="0" priority="1634"/>
  </conditionalFormatting>
  <conditionalFormatting sqref="XEV104">
    <cfRule type="duplicateValues" dxfId="0" priority="2044"/>
  </conditionalFormatting>
  <conditionalFormatting sqref="XFA104">
    <cfRule type="duplicateValues" dxfId="0" priority="2054"/>
  </conditionalFormatting>
  <conditionalFormatting sqref="A105">
    <cfRule type="duplicateValues" dxfId="0" priority="1143"/>
  </conditionalFormatting>
  <conditionalFormatting sqref="H105"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</conditionalFormatting>
  <conditionalFormatting sqref="J105"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  <cfRule type="duplicateValues" dxfId="0" priority="1123"/>
    <cfRule type="duplicateValues" dxfId="0" priority="1128"/>
  </conditionalFormatting>
  <conditionalFormatting sqref="K105"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  <cfRule type="duplicateValues" dxfId="0" priority="1023"/>
    <cfRule type="duplicateValues" dxfId="0" priority="1028"/>
  </conditionalFormatting>
  <conditionalFormatting sqref="L105">
    <cfRule type="duplicateValues" dxfId="0" priority="733"/>
    <cfRule type="duplicateValues" dxfId="0" priority="738"/>
    <cfRule type="duplicateValues" dxfId="0" priority="743"/>
    <cfRule type="duplicateValues" dxfId="0" priority="748"/>
    <cfRule type="duplicateValues" dxfId="0" priority="753"/>
    <cfRule type="duplicateValues" dxfId="0" priority="758"/>
    <cfRule type="duplicateValues" dxfId="0" priority="763"/>
    <cfRule type="duplicateValues" dxfId="0" priority="768"/>
    <cfRule type="duplicateValues" dxfId="0" priority="773"/>
    <cfRule type="duplicateValues" dxfId="0" priority="778"/>
    <cfRule type="duplicateValues" dxfId="0" priority="783"/>
    <cfRule type="duplicateValues" dxfId="0" priority="788"/>
    <cfRule type="duplicateValues" dxfId="0" priority="793"/>
    <cfRule type="duplicateValues" dxfId="0" priority="798"/>
    <cfRule type="duplicateValues" dxfId="0" priority="803"/>
    <cfRule type="duplicateValues" dxfId="0" priority="808"/>
    <cfRule type="duplicateValues" dxfId="0" priority="813"/>
    <cfRule type="duplicateValues" dxfId="0" priority="818"/>
    <cfRule type="duplicateValues" dxfId="0" priority="823"/>
    <cfRule type="duplicateValues" dxfId="0" priority="828"/>
  </conditionalFormatting>
  <conditionalFormatting sqref="M105">
    <cfRule type="duplicateValues" dxfId="0" priority="833"/>
    <cfRule type="duplicateValues" dxfId="0" priority="838"/>
    <cfRule type="duplicateValues" dxfId="0" priority="843"/>
    <cfRule type="duplicateValues" dxfId="0" priority="848"/>
    <cfRule type="duplicateValues" dxfId="0" priority="853"/>
    <cfRule type="duplicateValues" dxfId="0" priority="858"/>
    <cfRule type="duplicateValues" dxfId="0" priority="863"/>
    <cfRule type="duplicateValues" dxfId="0" priority="868"/>
    <cfRule type="duplicateValues" dxfId="0" priority="873"/>
    <cfRule type="duplicateValues" dxfId="0" priority="878"/>
    <cfRule type="duplicateValues" dxfId="0" priority="883"/>
    <cfRule type="duplicateValues" dxfId="0" priority="888"/>
    <cfRule type="duplicateValues" dxfId="0" priority="893"/>
    <cfRule type="duplicateValues" dxfId="0" priority="898"/>
    <cfRule type="duplicateValues" dxfId="0" priority="903"/>
    <cfRule type="duplicateValues" dxfId="0" priority="908"/>
    <cfRule type="duplicateValues" dxfId="0" priority="913"/>
    <cfRule type="duplicateValues" dxfId="0" priority="918"/>
    <cfRule type="duplicateValues" dxfId="0" priority="923"/>
    <cfRule type="duplicateValues" dxfId="0" priority="928"/>
  </conditionalFormatting>
  <conditionalFormatting sqref="XEV105">
    <cfRule type="duplicateValues" dxfId="0" priority="1133"/>
  </conditionalFormatting>
  <conditionalFormatting sqref="XFA105">
    <cfRule type="duplicateValues" dxfId="0" priority="1138"/>
  </conditionalFormatting>
  <conditionalFormatting sqref="A106">
    <cfRule type="duplicateValues" dxfId="0" priority="1142"/>
  </conditionalFormatting>
  <conditionalFormatting sqref="H106"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</conditionalFormatting>
  <conditionalFormatting sqref="J106"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  <cfRule type="duplicateValues" dxfId="0" priority="1122"/>
    <cfRule type="duplicateValues" dxfId="0" priority="1127"/>
  </conditionalFormatting>
  <conditionalFormatting sqref="K106"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  <cfRule type="duplicateValues" dxfId="0" priority="1022"/>
    <cfRule type="duplicateValues" dxfId="0" priority="1027"/>
  </conditionalFormatting>
  <conditionalFormatting sqref="L106">
    <cfRule type="duplicateValues" dxfId="0" priority="732"/>
    <cfRule type="duplicateValues" dxfId="0" priority="737"/>
    <cfRule type="duplicateValues" dxfId="0" priority="742"/>
    <cfRule type="duplicateValues" dxfId="0" priority="747"/>
    <cfRule type="duplicateValues" dxfId="0" priority="752"/>
    <cfRule type="duplicateValues" dxfId="0" priority="757"/>
    <cfRule type="duplicateValues" dxfId="0" priority="762"/>
    <cfRule type="duplicateValues" dxfId="0" priority="767"/>
    <cfRule type="duplicateValues" dxfId="0" priority="772"/>
    <cfRule type="duplicateValues" dxfId="0" priority="777"/>
    <cfRule type="duplicateValues" dxfId="0" priority="782"/>
    <cfRule type="duplicateValues" dxfId="0" priority="787"/>
    <cfRule type="duplicateValues" dxfId="0" priority="792"/>
    <cfRule type="duplicateValues" dxfId="0" priority="797"/>
    <cfRule type="duplicateValues" dxfId="0" priority="802"/>
    <cfRule type="duplicateValues" dxfId="0" priority="807"/>
    <cfRule type="duplicateValues" dxfId="0" priority="812"/>
    <cfRule type="duplicateValues" dxfId="0" priority="817"/>
    <cfRule type="duplicateValues" dxfId="0" priority="822"/>
    <cfRule type="duplicateValues" dxfId="0" priority="827"/>
  </conditionalFormatting>
  <conditionalFormatting sqref="M106">
    <cfRule type="duplicateValues" dxfId="0" priority="832"/>
    <cfRule type="duplicateValues" dxfId="0" priority="837"/>
    <cfRule type="duplicateValues" dxfId="0" priority="842"/>
    <cfRule type="duplicateValues" dxfId="0" priority="847"/>
    <cfRule type="duplicateValues" dxfId="0" priority="852"/>
    <cfRule type="duplicateValues" dxfId="0" priority="857"/>
    <cfRule type="duplicateValues" dxfId="0" priority="862"/>
    <cfRule type="duplicateValues" dxfId="0" priority="867"/>
    <cfRule type="duplicateValues" dxfId="0" priority="872"/>
    <cfRule type="duplicateValues" dxfId="0" priority="877"/>
    <cfRule type="duplicateValues" dxfId="0" priority="882"/>
    <cfRule type="duplicateValues" dxfId="0" priority="887"/>
    <cfRule type="duplicateValues" dxfId="0" priority="892"/>
    <cfRule type="duplicateValues" dxfId="0" priority="897"/>
    <cfRule type="duplicateValues" dxfId="0" priority="902"/>
    <cfRule type="duplicateValues" dxfId="0" priority="907"/>
    <cfRule type="duplicateValues" dxfId="0" priority="912"/>
    <cfRule type="duplicateValues" dxfId="0" priority="917"/>
    <cfRule type="duplicateValues" dxfId="0" priority="922"/>
    <cfRule type="duplicateValues" dxfId="0" priority="927"/>
  </conditionalFormatting>
  <conditionalFormatting sqref="XEV106">
    <cfRule type="duplicateValues" dxfId="0" priority="1132"/>
  </conditionalFormatting>
  <conditionalFormatting sqref="XFA106">
    <cfRule type="duplicateValues" dxfId="0" priority="1137"/>
  </conditionalFormatting>
  <conditionalFormatting sqref="A107">
    <cfRule type="duplicateValues" dxfId="0" priority="1141"/>
  </conditionalFormatting>
  <conditionalFormatting sqref="H107"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</conditionalFormatting>
  <conditionalFormatting sqref="J107"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  <cfRule type="duplicateValues" dxfId="0" priority="1121"/>
    <cfRule type="duplicateValues" dxfId="0" priority="1126"/>
  </conditionalFormatting>
  <conditionalFormatting sqref="K107"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  <cfRule type="duplicateValues" dxfId="0" priority="1021"/>
    <cfRule type="duplicateValues" dxfId="0" priority="1026"/>
  </conditionalFormatting>
  <conditionalFormatting sqref="L107">
    <cfRule type="duplicateValues" dxfId="0" priority="731"/>
    <cfRule type="duplicateValues" dxfId="0" priority="736"/>
    <cfRule type="duplicateValues" dxfId="0" priority="741"/>
    <cfRule type="duplicateValues" dxfId="0" priority="746"/>
    <cfRule type="duplicateValues" dxfId="0" priority="751"/>
    <cfRule type="duplicateValues" dxfId="0" priority="756"/>
    <cfRule type="duplicateValues" dxfId="0" priority="761"/>
    <cfRule type="duplicateValues" dxfId="0" priority="766"/>
    <cfRule type="duplicateValues" dxfId="0" priority="771"/>
    <cfRule type="duplicateValues" dxfId="0" priority="776"/>
    <cfRule type="duplicateValues" dxfId="0" priority="781"/>
    <cfRule type="duplicateValues" dxfId="0" priority="786"/>
    <cfRule type="duplicateValues" dxfId="0" priority="791"/>
    <cfRule type="duplicateValues" dxfId="0" priority="796"/>
    <cfRule type="duplicateValues" dxfId="0" priority="801"/>
    <cfRule type="duplicateValues" dxfId="0" priority="806"/>
    <cfRule type="duplicateValues" dxfId="0" priority="811"/>
    <cfRule type="duplicateValues" dxfId="0" priority="816"/>
    <cfRule type="duplicateValues" dxfId="0" priority="821"/>
    <cfRule type="duplicateValues" dxfId="0" priority="826"/>
  </conditionalFormatting>
  <conditionalFormatting sqref="M107">
    <cfRule type="duplicateValues" dxfId="0" priority="831"/>
    <cfRule type="duplicateValues" dxfId="0" priority="836"/>
    <cfRule type="duplicateValues" dxfId="0" priority="841"/>
    <cfRule type="duplicateValues" dxfId="0" priority="846"/>
    <cfRule type="duplicateValues" dxfId="0" priority="851"/>
    <cfRule type="duplicateValues" dxfId="0" priority="856"/>
    <cfRule type="duplicateValues" dxfId="0" priority="861"/>
    <cfRule type="duplicateValues" dxfId="0" priority="866"/>
    <cfRule type="duplicateValues" dxfId="0" priority="871"/>
    <cfRule type="duplicateValues" dxfId="0" priority="876"/>
    <cfRule type="duplicateValues" dxfId="0" priority="881"/>
    <cfRule type="duplicateValues" dxfId="0" priority="886"/>
    <cfRule type="duplicateValues" dxfId="0" priority="891"/>
    <cfRule type="duplicateValues" dxfId="0" priority="896"/>
    <cfRule type="duplicateValues" dxfId="0" priority="901"/>
    <cfRule type="duplicateValues" dxfId="0" priority="906"/>
    <cfRule type="duplicateValues" dxfId="0" priority="911"/>
    <cfRule type="duplicateValues" dxfId="0" priority="916"/>
    <cfRule type="duplicateValues" dxfId="0" priority="921"/>
    <cfRule type="duplicateValues" dxfId="0" priority="926"/>
  </conditionalFormatting>
  <conditionalFormatting sqref="XEV107">
    <cfRule type="duplicateValues" dxfId="0" priority="1131"/>
  </conditionalFormatting>
  <conditionalFormatting sqref="XFA107">
    <cfRule type="duplicateValues" dxfId="0" priority="1136"/>
  </conditionalFormatting>
  <conditionalFormatting sqref="A108">
    <cfRule type="duplicateValues" dxfId="0" priority="1140"/>
  </conditionalFormatting>
  <conditionalFormatting sqref="H108"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</conditionalFormatting>
  <conditionalFormatting sqref="J108"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  <cfRule type="duplicateValues" dxfId="0" priority="1120"/>
    <cfRule type="duplicateValues" dxfId="0" priority="1125"/>
  </conditionalFormatting>
  <conditionalFormatting sqref="K108"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  <cfRule type="duplicateValues" dxfId="0" priority="1020"/>
    <cfRule type="duplicateValues" dxfId="0" priority="1025"/>
  </conditionalFormatting>
  <conditionalFormatting sqref="L108">
    <cfRule type="duplicateValues" dxfId="0" priority="730"/>
    <cfRule type="duplicateValues" dxfId="0" priority="735"/>
    <cfRule type="duplicateValues" dxfId="0" priority="740"/>
    <cfRule type="duplicateValues" dxfId="0" priority="745"/>
    <cfRule type="duplicateValues" dxfId="0" priority="750"/>
    <cfRule type="duplicateValues" dxfId="0" priority="755"/>
    <cfRule type="duplicateValues" dxfId="0" priority="760"/>
    <cfRule type="duplicateValues" dxfId="0" priority="765"/>
    <cfRule type="duplicateValues" dxfId="0" priority="770"/>
    <cfRule type="duplicateValues" dxfId="0" priority="775"/>
    <cfRule type="duplicateValues" dxfId="0" priority="780"/>
    <cfRule type="duplicateValues" dxfId="0" priority="785"/>
    <cfRule type="duplicateValues" dxfId="0" priority="790"/>
    <cfRule type="duplicateValues" dxfId="0" priority="795"/>
    <cfRule type="duplicateValues" dxfId="0" priority="800"/>
    <cfRule type="duplicateValues" dxfId="0" priority="805"/>
    <cfRule type="duplicateValues" dxfId="0" priority="810"/>
    <cfRule type="duplicateValues" dxfId="0" priority="815"/>
    <cfRule type="duplicateValues" dxfId="0" priority="820"/>
    <cfRule type="duplicateValues" dxfId="0" priority="825"/>
  </conditionalFormatting>
  <conditionalFormatting sqref="M108">
    <cfRule type="duplicateValues" dxfId="0" priority="830"/>
    <cfRule type="duplicateValues" dxfId="0" priority="835"/>
    <cfRule type="duplicateValues" dxfId="0" priority="840"/>
    <cfRule type="duplicateValues" dxfId="0" priority="845"/>
    <cfRule type="duplicateValues" dxfId="0" priority="850"/>
    <cfRule type="duplicateValues" dxfId="0" priority="855"/>
    <cfRule type="duplicateValues" dxfId="0" priority="860"/>
    <cfRule type="duplicateValues" dxfId="0" priority="865"/>
    <cfRule type="duplicateValues" dxfId="0" priority="870"/>
    <cfRule type="duplicateValues" dxfId="0" priority="875"/>
    <cfRule type="duplicateValues" dxfId="0" priority="880"/>
    <cfRule type="duplicateValues" dxfId="0" priority="885"/>
    <cfRule type="duplicateValues" dxfId="0" priority="890"/>
    <cfRule type="duplicateValues" dxfId="0" priority="895"/>
    <cfRule type="duplicateValues" dxfId="0" priority="900"/>
    <cfRule type="duplicateValues" dxfId="0" priority="905"/>
    <cfRule type="duplicateValues" dxfId="0" priority="910"/>
    <cfRule type="duplicateValues" dxfId="0" priority="915"/>
    <cfRule type="duplicateValues" dxfId="0" priority="920"/>
    <cfRule type="duplicateValues" dxfId="0" priority="925"/>
  </conditionalFormatting>
  <conditionalFormatting sqref="XEV108">
    <cfRule type="duplicateValues" dxfId="0" priority="1130"/>
  </conditionalFormatting>
  <conditionalFormatting sqref="XFA108">
    <cfRule type="duplicateValues" dxfId="0" priority="1135"/>
  </conditionalFormatting>
  <conditionalFormatting sqref="A109">
    <cfRule type="duplicateValues" dxfId="0" priority="1139"/>
  </conditionalFormatting>
  <conditionalFormatting sqref="H109"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</conditionalFormatting>
  <conditionalFormatting sqref="J109"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  <cfRule type="duplicateValues" dxfId="0" priority="1119"/>
    <cfRule type="duplicateValues" dxfId="0" priority="1124"/>
  </conditionalFormatting>
  <conditionalFormatting sqref="K109"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  <cfRule type="duplicateValues" dxfId="0" priority="1019"/>
    <cfRule type="duplicateValues" dxfId="0" priority="1024"/>
  </conditionalFormatting>
  <conditionalFormatting sqref="L109">
    <cfRule type="duplicateValues" dxfId="0" priority="729"/>
    <cfRule type="duplicateValues" dxfId="0" priority="734"/>
    <cfRule type="duplicateValues" dxfId="0" priority="739"/>
    <cfRule type="duplicateValues" dxfId="0" priority="744"/>
    <cfRule type="duplicateValues" dxfId="0" priority="749"/>
    <cfRule type="duplicateValues" dxfId="0" priority="754"/>
    <cfRule type="duplicateValues" dxfId="0" priority="759"/>
    <cfRule type="duplicateValues" dxfId="0" priority="764"/>
    <cfRule type="duplicateValues" dxfId="0" priority="769"/>
    <cfRule type="duplicateValues" dxfId="0" priority="774"/>
    <cfRule type="duplicateValues" dxfId="0" priority="779"/>
    <cfRule type="duplicateValues" dxfId="0" priority="784"/>
    <cfRule type="duplicateValues" dxfId="0" priority="789"/>
    <cfRule type="duplicateValues" dxfId="0" priority="794"/>
    <cfRule type="duplicateValues" dxfId="0" priority="799"/>
    <cfRule type="duplicateValues" dxfId="0" priority="804"/>
    <cfRule type="duplicateValues" dxfId="0" priority="809"/>
    <cfRule type="duplicateValues" dxfId="0" priority="814"/>
    <cfRule type="duplicateValues" dxfId="0" priority="819"/>
    <cfRule type="duplicateValues" dxfId="0" priority="824"/>
  </conditionalFormatting>
  <conditionalFormatting sqref="M109">
    <cfRule type="duplicateValues" dxfId="0" priority="829"/>
    <cfRule type="duplicateValues" dxfId="0" priority="834"/>
    <cfRule type="duplicateValues" dxfId="0" priority="839"/>
    <cfRule type="duplicateValues" dxfId="0" priority="844"/>
    <cfRule type="duplicateValues" dxfId="0" priority="849"/>
    <cfRule type="duplicateValues" dxfId="0" priority="854"/>
    <cfRule type="duplicateValues" dxfId="0" priority="859"/>
    <cfRule type="duplicateValues" dxfId="0" priority="864"/>
    <cfRule type="duplicateValues" dxfId="0" priority="869"/>
    <cfRule type="duplicateValues" dxfId="0" priority="874"/>
    <cfRule type="duplicateValues" dxfId="0" priority="879"/>
    <cfRule type="duplicateValues" dxfId="0" priority="884"/>
    <cfRule type="duplicateValues" dxfId="0" priority="889"/>
    <cfRule type="duplicateValues" dxfId="0" priority="894"/>
    <cfRule type="duplicateValues" dxfId="0" priority="899"/>
    <cfRule type="duplicateValues" dxfId="0" priority="904"/>
    <cfRule type="duplicateValues" dxfId="0" priority="909"/>
    <cfRule type="duplicateValues" dxfId="0" priority="914"/>
    <cfRule type="duplicateValues" dxfId="0" priority="919"/>
    <cfRule type="duplicateValues" dxfId="0" priority="924"/>
  </conditionalFormatting>
  <conditionalFormatting sqref="XEV109">
    <cfRule type="duplicateValues" dxfId="0" priority="1129"/>
  </conditionalFormatting>
  <conditionalFormatting sqref="XFA109">
    <cfRule type="duplicateValues" dxfId="0" priority="1134"/>
  </conditionalFormatting>
  <conditionalFormatting sqref="A110">
    <cfRule type="duplicateValues" dxfId="0" priority="588"/>
  </conditionalFormatting>
  <conditionalFormatting sqref="H110">
    <cfRule type="duplicateValues" dxfId="0" priority="595"/>
    <cfRule type="duplicateValues" dxfId="0" priority="602"/>
    <cfRule type="duplicateValues" dxfId="0" priority="609"/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</conditionalFormatting>
  <conditionalFormatting sqref="J110"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</conditionalFormatting>
  <conditionalFormatting sqref="K110"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</conditionalFormatting>
  <conditionalFormatting sqref="L110">
    <cfRule type="duplicateValues" dxfId="0" priority="7"/>
    <cfRule type="duplicateValues" dxfId="0" priority="14"/>
    <cfRule type="duplicateValues" dxfId="0" priority="21"/>
    <cfRule type="duplicateValues" dxfId="0" priority="28"/>
    <cfRule type="duplicateValues" dxfId="0" priority="35"/>
    <cfRule type="duplicateValues" dxfId="0" priority="42"/>
    <cfRule type="duplicateValues" dxfId="0" priority="49"/>
    <cfRule type="duplicateValues" dxfId="0" priority="56"/>
    <cfRule type="duplicateValues" dxfId="0" priority="63"/>
    <cfRule type="duplicateValues" dxfId="0" priority="70"/>
    <cfRule type="duplicateValues" dxfId="0" priority="77"/>
    <cfRule type="duplicateValues" dxfId="0" priority="84"/>
    <cfRule type="duplicateValues" dxfId="0" priority="91"/>
    <cfRule type="duplicateValues" dxfId="0" priority="98"/>
    <cfRule type="duplicateValues" dxfId="0" priority="105"/>
    <cfRule type="duplicateValues" dxfId="0" priority="112"/>
    <cfRule type="duplicateValues" dxfId="0" priority="119"/>
    <cfRule type="duplicateValues" dxfId="0" priority="126"/>
    <cfRule type="duplicateValues" dxfId="0" priority="133"/>
    <cfRule type="duplicateValues" dxfId="0" priority="140"/>
  </conditionalFormatting>
  <conditionalFormatting sqref="M110">
    <cfRule type="duplicateValues" dxfId="0" priority="147"/>
    <cfRule type="duplicateValues" dxfId="0" priority="154"/>
    <cfRule type="duplicateValues" dxfId="0" priority="161"/>
    <cfRule type="duplicateValues" dxfId="0" priority="168"/>
    <cfRule type="duplicateValues" dxfId="0" priority="175"/>
    <cfRule type="duplicateValues" dxfId="0" priority="182"/>
    <cfRule type="duplicateValues" dxfId="0" priority="189"/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</conditionalFormatting>
  <conditionalFormatting sqref="XET110">
    <cfRule type="duplicateValues" dxfId="0" priority="567"/>
  </conditionalFormatting>
  <conditionalFormatting sqref="XEY110">
    <cfRule type="duplicateValues" dxfId="0" priority="574"/>
  </conditionalFormatting>
  <conditionalFormatting sqref="XFC110">
    <cfRule type="duplicateValues" dxfId="0" priority="587"/>
  </conditionalFormatting>
  <conditionalFormatting sqref="A111">
    <cfRule type="duplicateValues" dxfId="0" priority="586"/>
  </conditionalFormatting>
  <conditionalFormatting sqref="H111">
    <cfRule type="duplicateValues" dxfId="0" priority="594"/>
    <cfRule type="duplicateValues" dxfId="0" priority="601"/>
    <cfRule type="duplicateValues" dxfId="0" priority="608"/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</conditionalFormatting>
  <conditionalFormatting sqref="J111"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</conditionalFormatting>
  <conditionalFormatting sqref="K111"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</conditionalFormatting>
  <conditionalFormatting sqref="L111">
    <cfRule type="duplicateValues" dxfId="0" priority="6"/>
    <cfRule type="duplicateValues" dxfId="0" priority="13"/>
    <cfRule type="duplicateValues" dxfId="0" priority="20"/>
    <cfRule type="duplicateValues" dxfId="0" priority="27"/>
    <cfRule type="duplicateValues" dxfId="0" priority="34"/>
    <cfRule type="duplicateValues" dxfId="0" priority="41"/>
    <cfRule type="duplicateValues" dxfId="0" priority="48"/>
    <cfRule type="duplicateValues" dxfId="0" priority="55"/>
    <cfRule type="duplicateValues" dxfId="0" priority="62"/>
    <cfRule type="duplicateValues" dxfId="0" priority="69"/>
    <cfRule type="duplicateValues" dxfId="0" priority="76"/>
    <cfRule type="duplicateValues" dxfId="0" priority="83"/>
    <cfRule type="duplicateValues" dxfId="0" priority="90"/>
    <cfRule type="duplicateValues" dxfId="0" priority="97"/>
    <cfRule type="duplicateValues" dxfId="0" priority="104"/>
    <cfRule type="duplicateValues" dxfId="0" priority="111"/>
    <cfRule type="duplicateValues" dxfId="0" priority="118"/>
    <cfRule type="duplicateValues" dxfId="0" priority="125"/>
    <cfRule type="duplicateValues" dxfId="0" priority="132"/>
    <cfRule type="duplicateValues" dxfId="0" priority="139"/>
  </conditionalFormatting>
  <conditionalFormatting sqref="M111">
    <cfRule type="duplicateValues" dxfId="0" priority="146"/>
    <cfRule type="duplicateValues" dxfId="0" priority="153"/>
    <cfRule type="duplicateValues" dxfId="0" priority="160"/>
    <cfRule type="duplicateValues" dxfId="0" priority="167"/>
    <cfRule type="duplicateValues" dxfId="0" priority="174"/>
    <cfRule type="duplicateValues" dxfId="0" priority="181"/>
    <cfRule type="duplicateValues" dxfId="0" priority="188"/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</conditionalFormatting>
  <conditionalFormatting sqref="XET111">
    <cfRule type="duplicateValues" dxfId="0" priority="566"/>
  </conditionalFormatting>
  <conditionalFormatting sqref="XEY111">
    <cfRule type="duplicateValues" dxfId="0" priority="573"/>
  </conditionalFormatting>
  <conditionalFormatting sqref="XFC111">
    <cfRule type="duplicateValues" dxfId="0" priority="585"/>
  </conditionalFormatting>
  <conditionalFormatting sqref="A112">
    <cfRule type="duplicateValues" dxfId="0" priority="584"/>
  </conditionalFormatting>
  <conditionalFormatting sqref="H112">
    <cfRule type="duplicateValues" dxfId="0" priority="593"/>
    <cfRule type="duplicateValues" dxfId="0" priority="600"/>
    <cfRule type="duplicateValues" dxfId="0" priority="607"/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</conditionalFormatting>
  <conditionalFormatting sqref="J112"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</conditionalFormatting>
  <conditionalFormatting sqref="K112"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</conditionalFormatting>
  <conditionalFormatting sqref="L112">
    <cfRule type="duplicateValues" dxfId="0" priority="5"/>
    <cfRule type="duplicateValues" dxfId="0" priority="12"/>
    <cfRule type="duplicateValues" dxfId="0" priority="19"/>
    <cfRule type="duplicateValues" dxfId="0" priority="26"/>
    <cfRule type="duplicateValues" dxfId="0" priority="33"/>
    <cfRule type="duplicateValues" dxfId="0" priority="40"/>
    <cfRule type="duplicateValues" dxfId="0" priority="47"/>
    <cfRule type="duplicateValues" dxfId="0" priority="54"/>
    <cfRule type="duplicateValues" dxfId="0" priority="61"/>
    <cfRule type="duplicateValues" dxfId="0" priority="68"/>
    <cfRule type="duplicateValues" dxfId="0" priority="75"/>
    <cfRule type="duplicateValues" dxfId="0" priority="82"/>
    <cfRule type="duplicateValues" dxfId="0" priority="89"/>
    <cfRule type="duplicateValues" dxfId="0" priority="96"/>
    <cfRule type="duplicateValues" dxfId="0" priority="103"/>
    <cfRule type="duplicateValues" dxfId="0" priority="110"/>
    <cfRule type="duplicateValues" dxfId="0" priority="117"/>
    <cfRule type="duplicateValues" dxfId="0" priority="124"/>
    <cfRule type="duplicateValues" dxfId="0" priority="131"/>
    <cfRule type="duplicateValues" dxfId="0" priority="138"/>
  </conditionalFormatting>
  <conditionalFormatting sqref="M112">
    <cfRule type="duplicateValues" dxfId="0" priority="145"/>
    <cfRule type="duplicateValues" dxfId="0" priority="152"/>
    <cfRule type="duplicateValues" dxfId="0" priority="159"/>
    <cfRule type="duplicateValues" dxfId="0" priority="166"/>
    <cfRule type="duplicateValues" dxfId="0" priority="173"/>
    <cfRule type="duplicateValues" dxfId="0" priority="180"/>
    <cfRule type="duplicateValues" dxfId="0" priority="187"/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</conditionalFormatting>
  <conditionalFormatting sqref="XET112">
    <cfRule type="duplicateValues" dxfId="0" priority="565"/>
  </conditionalFormatting>
  <conditionalFormatting sqref="XEY112">
    <cfRule type="duplicateValues" dxfId="0" priority="572"/>
  </conditionalFormatting>
  <conditionalFormatting sqref="XFC112">
    <cfRule type="duplicateValues" dxfId="0" priority="583"/>
  </conditionalFormatting>
  <conditionalFormatting sqref="A113">
    <cfRule type="duplicateValues" dxfId="0" priority="582"/>
  </conditionalFormatting>
  <conditionalFormatting sqref="H113">
    <cfRule type="duplicateValues" dxfId="0" priority="592"/>
    <cfRule type="duplicateValues" dxfId="0" priority="599"/>
    <cfRule type="duplicateValues" dxfId="0" priority="606"/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</conditionalFormatting>
  <conditionalFormatting sqref="J113"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</conditionalFormatting>
  <conditionalFormatting sqref="K113"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</conditionalFormatting>
  <conditionalFormatting sqref="L113">
    <cfRule type="duplicateValues" dxfId="0" priority="4"/>
    <cfRule type="duplicateValues" dxfId="0" priority="11"/>
    <cfRule type="duplicateValues" dxfId="0" priority="18"/>
    <cfRule type="duplicateValues" dxfId="0" priority="25"/>
    <cfRule type="duplicateValues" dxfId="0" priority="32"/>
    <cfRule type="duplicateValues" dxfId="0" priority="39"/>
    <cfRule type="duplicateValues" dxfId="0" priority="46"/>
    <cfRule type="duplicateValues" dxfId="0" priority="53"/>
    <cfRule type="duplicateValues" dxfId="0" priority="60"/>
    <cfRule type="duplicateValues" dxfId="0" priority="67"/>
    <cfRule type="duplicateValues" dxfId="0" priority="74"/>
    <cfRule type="duplicateValues" dxfId="0" priority="81"/>
    <cfRule type="duplicateValues" dxfId="0" priority="88"/>
    <cfRule type="duplicateValues" dxfId="0" priority="95"/>
    <cfRule type="duplicateValues" dxfId="0" priority="102"/>
    <cfRule type="duplicateValues" dxfId="0" priority="109"/>
    <cfRule type="duplicateValues" dxfId="0" priority="116"/>
    <cfRule type="duplicateValues" dxfId="0" priority="123"/>
    <cfRule type="duplicateValues" dxfId="0" priority="130"/>
    <cfRule type="duplicateValues" dxfId="0" priority="137"/>
  </conditionalFormatting>
  <conditionalFormatting sqref="M113">
    <cfRule type="duplicateValues" dxfId="0" priority="144"/>
    <cfRule type="duplicateValues" dxfId="0" priority="151"/>
    <cfRule type="duplicateValues" dxfId="0" priority="158"/>
    <cfRule type="duplicateValues" dxfId="0" priority="165"/>
    <cfRule type="duplicateValues" dxfId="0" priority="172"/>
    <cfRule type="duplicateValues" dxfId="0" priority="179"/>
    <cfRule type="duplicateValues" dxfId="0" priority="186"/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</conditionalFormatting>
  <conditionalFormatting sqref="XET113">
    <cfRule type="duplicateValues" dxfId="0" priority="564"/>
  </conditionalFormatting>
  <conditionalFormatting sqref="XEY113">
    <cfRule type="duplicateValues" dxfId="0" priority="571"/>
  </conditionalFormatting>
  <conditionalFormatting sqref="XFC113">
    <cfRule type="duplicateValues" dxfId="0" priority="581"/>
  </conditionalFormatting>
  <conditionalFormatting sqref="A114">
    <cfRule type="duplicateValues" dxfId="0" priority="580"/>
  </conditionalFormatting>
  <conditionalFormatting sqref="H114">
    <cfRule type="duplicateValues" dxfId="0" priority="591"/>
    <cfRule type="duplicateValues" dxfId="0" priority="598"/>
    <cfRule type="duplicateValues" dxfId="0" priority="605"/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</conditionalFormatting>
  <conditionalFormatting sqref="J114"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</conditionalFormatting>
  <conditionalFormatting sqref="K114"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</conditionalFormatting>
  <conditionalFormatting sqref="L114">
    <cfRule type="duplicateValues" dxfId="0" priority="3"/>
    <cfRule type="duplicateValues" dxfId="0" priority="10"/>
    <cfRule type="duplicateValues" dxfId="0" priority="17"/>
    <cfRule type="duplicateValues" dxfId="0" priority="24"/>
    <cfRule type="duplicateValues" dxfId="0" priority="31"/>
    <cfRule type="duplicateValues" dxfId="0" priority="38"/>
    <cfRule type="duplicateValues" dxfId="0" priority="45"/>
    <cfRule type="duplicateValues" dxfId="0" priority="52"/>
    <cfRule type="duplicateValues" dxfId="0" priority="59"/>
    <cfRule type="duplicateValues" dxfId="0" priority="66"/>
    <cfRule type="duplicateValues" dxfId="0" priority="73"/>
    <cfRule type="duplicateValues" dxfId="0" priority="80"/>
    <cfRule type="duplicateValues" dxfId="0" priority="87"/>
    <cfRule type="duplicateValues" dxfId="0" priority="94"/>
    <cfRule type="duplicateValues" dxfId="0" priority="101"/>
    <cfRule type="duplicateValues" dxfId="0" priority="108"/>
    <cfRule type="duplicateValues" dxfId="0" priority="115"/>
    <cfRule type="duplicateValues" dxfId="0" priority="122"/>
    <cfRule type="duplicateValues" dxfId="0" priority="129"/>
    <cfRule type="duplicateValues" dxfId="0" priority="136"/>
  </conditionalFormatting>
  <conditionalFormatting sqref="M114">
    <cfRule type="duplicateValues" dxfId="0" priority="143"/>
    <cfRule type="duplicateValues" dxfId="0" priority="150"/>
    <cfRule type="duplicateValues" dxfId="0" priority="157"/>
    <cfRule type="duplicateValues" dxfId="0" priority="164"/>
    <cfRule type="duplicateValues" dxfId="0" priority="171"/>
    <cfRule type="duplicateValues" dxfId="0" priority="178"/>
    <cfRule type="duplicateValues" dxfId="0" priority="185"/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</conditionalFormatting>
  <conditionalFormatting sqref="XET114">
    <cfRule type="duplicateValues" dxfId="0" priority="563"/>
  </conditionalFormatting>
  <conditionalFormatting sqref="XEY114">
    <cfRule type="duplicateValues" dxfId="0" priority="570"/>
  </conditionalFormatting>
  <conditionalFormatting sqref="XFC114">
    <cfRule type="duplicateValues" dxfId="0" priority="579"/>
  </conditionalFormatting>
  <conditionalFormatting sqref="A115">
    <cfRule type="duplicateValues" dxfId="0" priority="578"/>
  </conditionalFormatting>
  <conditionalFormatting sqref="H115">
    <cfRule type="duplicateValues" dxfId="0" priority="590"/>
    <cfRule type="duplicateValues" dxfId="0" priority="597"/>
    <cfRule type="duplicateValues" dxfId="0" priority="604"/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</conditionalFormatting>
  <conditionalFormatting sqref="J115"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</conditionalFormatting>
  <conditionalFormatting sqref="K115"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</conditionalFormatting>
  <conditionalFormatting sqref="L115">
    <cfRule type="duplicateValues" dxfId="0" priority="2"/>
    <cfRule type="duplicateValues" dxfId="0" priority="9"/>
    <cfRule type="duplicateValues" dxfId="0" priority="16"/>
    <cfRule type="duplicateValues" dxfId="0" priority="23"/>
    <cfRule type="duplicateValues" dxfId="0" priority="30"/>
    <cfRule type="duplicateValues" dxfId="0" priority="37"/>
    <cfRule type="duplicateValues" dxfId="0" priority="44"/>
    <cfRule type="duplicateValues" dxfId="0" priority="51"/>
    <cfRule type="duplicateValues" dxfId="0" priority="58"/>
    <cfRule type="duplicateValues" dxfId="0" priority="65"/>
    <cfRule type="duplicateValues" dxfId="0" priority="72"/>
    <cfRule type="duplicateValues" dxfId="0" priority="79"/>
    <cfRule type="duplicateValues" dxfId="0" priority="86"/>
    <cfRule type="duplicateValues" dxfId="0" priority="93"/>
    <cfRule type="duplicateValues" dxfId="0" priority="100"/>
    <cfRule type="duplicateValues" dxfId="0" priority="107"/>
    <cfRule type="duplicateValues" dxfId="0" priority="114"/>
    <cfRule type="duplicateValues" dxfId="0" priority="121"/>
    <cfRule type="duplicateValues" dxfId="0" priority="128"/>
    <cfRule type="duplicateValues" dxfId="0" priority="135"/>
  </conditionalFormatting>
  <conditionalFormatting sqref="M115">
    <cfRule type="duplicateValues" dxfId="0" priority="142"/>
    <cfRule type="duplicateValues" dxfId="0" priority="149"/>
    <cfRule type="duplicateValues" dxfId="0" priority="156"/>
    <cfRule type="duplicateValues" dxfId="0" priority="163"/>
    <cfRule type="duplicateValues" dxfId="0" priority="170"/>
    <cfRule type="duplicateValues" dxfId="0" priority="177"/>
    <cfRule type="duplicateValues" dxfId="0" priority="184"/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</conditionalFormatting>
  <conditionalFormatting sqref="XET115">
    <cfRule type="duplicateValues" dxfId="0" priority="562"/>
  </conditionalFormatting>
  <conditionalFormatting sqref="XEY115">
    <cfRule type="duplicateValues" dxfId="0" priority="569"/>
  </conditionalFormatting>
  <conditionalFormatting sqref="XFC115">
    <cfRule type="duplicateValues" dxfId="0" priority="577"/>
  </conditionalFormatting>
  <conditionalFormatting sqref="A116">
    <cfRule type="duplicateValues" dxfId="0" priority="576"/>
  </conditionalFormatting>
  <conditionalFormatting sqref="H116">
    <cfRule type="duplicateValues" dxfId="0" priority="589"/>
    <cfRule type="duplicateValues" dxfId="0" priority="596"/>
    <cfRule type="duplicateValues" dxfId="0" priority="603"/>
    <cfRule type="duplicateValues" dxfId="0" priority="610"/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</conditionalFormatting>
  <conditionalFormatting sqref="J116"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</conditionalFormatting>
  <conditionalFormatting sqref="K116"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</conditionalFormatting>
  <conditionalFormatting sqref="L116">
    <cfRule type="duplicateValues" dxfId="0" priority="1"/>
    <cfRule type="duplicateValues" dxfId="0" priority="8"/>
    <cfRule type="duplicateValues" dxfId="0" priority="15"/>
    <cfRule type="duplicateValues" dxfId="0" priority="22"/>
    <cfRule type="duplicateValues" dxfId="0" priority="29"/>
    <cfRule type="duplicateValues" dxfId="0" priority="36"/>
    <cfRule type="duplicateValues" dxfId="0" priority="43"/>
    <cfRule type="duplicateValues" dxfId="0" priority="50"/>
    <cfRule type="duplicateValues" dxfId="0" priority="57"/>
    <cfRule type="duplicateValues" dxfId="0" priority="64"/>
    <cfRule type="duplicateValues" dxfId="0" priority="71"/>
    <cfRule type="duplicateValues" dxfId="0" priority="78"/>
    <cfRule type="duplicateValues" dxfId="0" priority="85"/>
    <cfRule type="duplicateValues" dxfId="0" priority="92"/>
    <cfRule type="duplicateValues" dxfId="0" priority="99"/>
    <cfRule type="duplicateValues" dxfId="0" priority="106"/>
    <cfRule type="duplicateValues" dxfId="0" priority="113"/>
    <cfRule type="duplicateValues" dxfId="0" priority="120"/>
    <cfRule type="duplicateValues" dxfId="0" priority="127"/>
    <cfRule type="duplicateValues" dxfId="0" priority="134"/>
  </conditionalFormatting>
  <conditionalFormatting sqref="M116">
    <cfRule type="duplicateValues" dxfId="0" priority="141"/>
    <cfRule type="duplicateValues" dxfId="0" priority="148"/>
    <cfRule type="duplicateValues" dxfId="0" priority="155"/>
    <cfRule type="duplicateValues" dxfId="0" priority="162"/>
    <cfRule type="duplicateValues" dxfId="0" priority="169"/>
    <cfRule type="duplicateValues" dxfId="0" priority="176"/>
    <cfRule type="duplicateValues" dxfId="0" priority="183"/>
    <cfRule type="duplicateValues" dxfId="0" priority="190"/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</conditionalFormatting>
  <conditionalFormatting sqref="XET116">
    <cfRule type="duplicateValues" dxfId="0" priority="561"/>
  </conditionalFormatting>
  <conditionalFormatting sqref="XEY116">
    <cfRule type="duplicateValues" dxfId="0" priority="568"/>
  </conditionalFormatting>
  <conditionalFormatting sqref="XFC116">
    <cfRule type="duplicateValues" dxfId="0" priority="575"/>
  </conditionalFormatting>
  <conditionalFormatting sqref="V1048307"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</conditionalFormatting>
  <conditionalFormatting sqref="V1048308"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</conditionalFormatting>
  <conditionalFormatting sqref="V1048309">
    <cfRule type="duplicateValues" dxfId="0" priority="9293"/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  <cfRule type="duplicateValues" dxfId="0" priority="9311"/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</conditionalFormatting>
  <conditionalFormatting sqref="A1:A3 A117:A1048576">
    <cfRule type="duplicateValues" dxfId="0" priority="11238"/>
  </conditionalFormatting>
  <conditionalFormatting sqref="H1:H3 G117:G1048576">
    <cfRule type="duplicateValues" dxfId="0" priority="11225"/>
    <cfRule type="duplicateValues" dxfId="0" priority="11226"/>
    <cfRule type="duplicateValues" dxfId="0" priority="11227"/>
    <cfRule type="duplicateValues" dxfId="0" priority="11228"/>
    <cfRule type="duplicateValues" dxfId="0" priority="11229"/>
    <cfRule type="duplicateValues" dxfId="0" priority="11230"/>
    <cfRule type="duplicateValues" dxfId="0" priority="11231"/>
    <cfRule type="duplicateValues" dxfId="0" priority="11232"/>
    <cfRule type="duplicateValues" dxfId="0" priority="11233"/>
    <cfRule type="duplicateValues" dxfId="0" priority="11234"/>
    <cfRule type="duplicateValues" dxfId="0" priority="11235"/>
    <cfRule type="duplicateValues" dxfId="0" priority="11236"/>
    <cfRule type="duplicateValues" dxfId="0" priority="11237"/>
    <cfRule type="duplicateValues" dxfId="0" priority="11239"/>
    <cfRule type="duplicateValues" dxfId="0" priority="11240"/>
    <cfRule type="duplicateValues" dxfId="0" priority="11241"/>
    <cfRule type="duplicateValues" dxfId="0" priority="11242"/>
    <cfRule type="duplicateValues" dxfId="0" priority="11243"/>
    <cfRule type="duplicateValues" dxfId="0" priority="11244"/>
    <cfRule type="duplicateValues" dxfId="0" priority="11247"/>
    <cfRule type="duplicateValues" dxfId="0" priority="11184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2026-08-27T11:24:25Z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