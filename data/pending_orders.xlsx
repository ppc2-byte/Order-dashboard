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3" r:id="rId1"/>
  </sheets>
  <definedNames>
    <definedName name="_xlnm._FilterDatabase" localSheetId="0" hidden="1">'Actual pending as on today'!$3:$100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<sst xmlns="http://schemas.openxmlformats.org/spreadsheetml/2006/main" count="646" uniqueCount="304">
  <si>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</si>
  <si>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</si>
  <si>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</si>
  <si>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</si>
  <si>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</si>
  <si>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</si>
  <si>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</si>
  <si>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</si>
  <si>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</si>
  <si>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</si>
  <si>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</si>
  <si>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</si>
  <si>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</si>
  <si>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</si>
  <si>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</si>
  <si>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</si>
  <si>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</si>
  <si>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</si>
  <si>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</si>
  <si>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</si>
  <si>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</si>
  <si>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</si>
  <si>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</si>
  <si>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</si>
  <si>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</si>
  <si>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</si>
  <si>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BN-2627/926</t>
  </si>
  <si>
    <t>Hyderabad</t>
  </si>
  <si>
    <t>Annora Pharma Private Limited</t>
  </si>
  <si>
    <t>Repeat Job</t>
  </si>
  <si>
    <t>2104936 - PLAIN CARTON (45X55X90MM)</t>
  </si>
  <si>
    <t>FG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</si>
  <si>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</si>
  <si>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</si>
  <si>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</si>
  <si>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</si>
  <si>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</si>
  <si>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</si>
  <si>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</si>
  <si>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</si>
  <si>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</si>
  <si>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</si>
  <si>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New Job</t>
  </si>
  <si>
    <t>PPCA2779</t>
  </si>
  <si>
    <t>PPCA2779 - PRINTED CARTON AUSTELL FUROSEMIDE 40 TAB BP 3X10S</t>
  </si>
  <si>
    <t>SCAP</t>
  </si>
  <si>
    <t>BN-2627/1029</t>
  </si>
  <si>
    <t>Bommasandra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</si>
  <si>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</si>
  <si>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</si>
  <si>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</si>
  <si>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</si>
  <si>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</si>
  <si>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</si>
  <si>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</si>
  <si>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</si>
  <si>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</si>
  <si>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Biocon Pharma Limited</t>
  </si>
  <si>
    <t>BPL0145/01 - CARTON EVEROLIMUS TABLETS 2.5MG 28S UKRAINE</t>
  </si>
  <si>
    <t>PLANNED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</si>
  <si>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</si>
  <si>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</si>
  <si>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</si>
  <si>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</si>
  <si>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</si>
  <si>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</si>
  <si>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</si>
  <si>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</si>
  <si>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</si>
  <si>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</si>
  <si>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CS END PENDING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</si>
  <si>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</si>
  <si>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</si>
  <si>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</si>
  <si>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</si>
  <si>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</si>
  <si>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</si>
  <si>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</si>
  <si>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</si>
  <si>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</si>
  <si>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</si>
  <si>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</si>
  <si>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</si>
  <si>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</si>
  <si>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Indalavadi</t>
  </si>
  <si>
    <t>STRIDES PHARMA SCIENCE LIMITED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</si>
  <si>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</si>
  <si>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</si>
  <si>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</si>
  <si>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</si>
  <si>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</si>
  <si>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</si>
  <si>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</si>
  <si>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</si>
  <si>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</si>
  <si>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</si>
  <si>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</si>
  <si>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</si>
  <si>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</si>
  <si>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</si>
  <si>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</si>
  <si>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</si>
  <si>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</si>
  <si>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</si>
  <si>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</si>
  <si>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</si>
  <si>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</si>
  <si>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PUNCHING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</si>
  <si>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</si>
  <si>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</si>
  <si>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</si>
  <si>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</si>
  <si>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</si>
  <si>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</si>
  <si>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</si>
  <si>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</si>
  <si>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</si>
  <si>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</si>
  <si>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</si>
  <si>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</si>
  <si>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</si>
  <si>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Pondy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</si>
  <si>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</si>
  <si>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</si>
  <si>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</si>
  <si>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</si>
  <si>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</si>
  <si>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</si>
  <si>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</si>
  <si>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</si>
  <si>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</si>
  <si>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</si>
  <si>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</si>
  <si>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</si>
  <si>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</si>
  <si>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</si>
  <si>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</si>
  <si>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</si>
  <si>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</si>
  <si>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</si>
  <si>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</si>
  <si>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</si>
  <si>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</si>
  <si>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</si>
  <si>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</si>
  <si>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</si>
  <si>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</si>
  <si>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</si>
  <si>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</si>
  <si>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</si>
  <si>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</si>
  <si>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</si>
  <si>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</si>
  <si>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</si>
  <si>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</si>
  <si>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</si>
  <si>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</si>
  <si>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</si>
  <si>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</si>
  <si>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</si>
  <si>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</si>
  <si>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</si>
  <si>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</si>
  <si>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</si>
  <si>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</si>
  <si>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</si>
  <si>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</si>
  <si>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</si>
  <si>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</si>
  <si>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</si>
  <si>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</si>
  <si>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</si>
  <si>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</si>
  <si>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</si>
  <si>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</si>
  <si>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</si>
  <si>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</si>
  <si>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</si>
  <si>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</si>
  <si>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</si>
  <si>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</si>
  <si>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</si>
  <si>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</si>
  <si>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</si>
  <si>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</si>
  <si>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</si>
  <si>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</si>
  <si>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</si>
  <si>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</si>
  <si>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</si>
  <si>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</si>
  <si>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</si>
  <si>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</si>
  <si>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</si>
  <si>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</si>
  <si>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</si>
  <si>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</si>
  <si>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</si>
  <si>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</si>
  <si>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PO Awaited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</si>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</sst>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dd\-mm\-yyyy;@"/>
    <numFmt numFmtId="182" formatCode="0_ 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10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4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181" fontId="0" fillId="0" borderId="2" xfId="0" applyNumberFormat="1" applyFill="1" applyBorder="1" applyAlignment="1">
      <alignment horizontal="center" vertical="center"/>
    </xf>
    <xf numFmtId="182" fontId="0" fillId="0" borderId="2" xfId="0" applyNumberFormat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0" fillId="0" borderId="0" xfId="0" applyFill="1"/>
    <xf numFmtId="0" fontId="0" fillId="0" borderId="2" xfId="0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5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0" borderId="2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74"/>
  <sheetViews>
    <sheetView tabSelected="1" zoomScale="70" zoomScaleNormal="70" workbookViewId="0">
      <pane xSplit="4" ySplit="3" topLeftCell="E85" activePane="bottomRight" state="frozen"/>
      <selection/>
      <selection pane="topRight"/>
      <selection pane="bottomLeft"/>
      <selection pane="bottomRight" activeCell="I93" sqref="I9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6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6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6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6 16380:16384">
      <c r="A4" s="24" t="s">
        <v>26</v>
      </c>
      <c r="B4" s="25">
        <v>46210</v>
      </c>
      <c r="C4" s="26">
        <v>9500217205</v>
      </c>
      <c r="D4" s="26">
        <v>46210</v>
      </c>
      <c r="E4" s="27" t="s">
        <v>27</v>
      </c>
      <c r="F4" s="28" t="s">
        <v>28</v>
      </c>
      <c r="G4" s="24" t="s">
        <v>29</v>
      </c>
      <c r="H4" s="29">
        <v>2104936</v>
      </c>
      <c r="I4" s="29" t="s">
        <v>30</v>
      </c>
      <c r="J4" s="24">
        <v>5000</v>
      </c>
      <c r="K4" s="30">
        <v>4.35</v>
      </c>
      <c r="L4" s="24">
        <v>5000</v>
      </c>
      <c r="M4" s="24">
        <v>21750</v>
      </c>
      <c r="N4" s="24" t="s">
        <v>31</v>
      </c>
      <c r="O4" s="26">
        <v>46211</v>
      </c>
      <c r="P4" s="26">
        <v>46213</v>
      </c>
      <c r="Q4" s="26"/>
      <c r="R4" s="26">
        <v>46242</v>
      </c>
      <c r="S4" s="31"/>
      <c r="T4" s="32">
        <f ca="1">TODAY()-B4</f>
        <v>51</v>
      </c>
      <c r="U4" s="33"/>
      <c r="V4" s="3"/>
      <c r="W4" s="34">
        <f>+P4-O4</f>
        <v>2</v>
      </c>
    </row>
    <row r="5" s="1" customFormat="1" ht="14.1" customHeight="1" spans="1:26 16380:16384">
      <c r="A5" s="24" t="s">
        <v>32</v>
      </c>
      <c r="B5" s="25">
        <v>46220</v>
      </c>
      <c r="C5" s="26"/>
      <c r="D5" s="26" t="s">
        <v>33</v>
      </c>
      <c r="E5" s="27" t="s">
        <v>34</v>
      </c>
      <c r="F5" s="28" t="s">
        <v>35</v>
      </c>
      <c r="G5" s="24" t="s">
        <v>29</v>
      </c>
      <c r="H5" s="29" t="s">
        <v>36</v>
      </c>
      <c r="I5" s="29" t="s">
        <v>37</v>
      </c>
      <c r="J5" s="24">
        <v>11000</v>
      </c>
      <c r="K5" s="30">
        <v>3.7</v>
      </c>
      <c r="L5" s="24">
        <v>11000</v>
      </c>
      <c r="M5" s="24">
        <f>+L5*K5</f>
        <v>40700</v>
      </c>
      <c r="N5" s="24" t="s">
        <v>31</v>
      </c>
      <c r="O5" s="26">
        <v>46224</v>
      </c>
      <c r="P5" s="26">
        <v>46225</v>
      </c>
      <c r="Q5" s="26">
        <v>46227</v>
      </c>
      <c r="R5" s="26">
        <v>46230</v>
      </c>
      <c r="S5" s="31"/>
      <c r="T5" s="32">
        <f ca="1">TODAY()-B5</f>
        <v>41</v>
      </c>
      <c r="U5" s="35"/>
      <c r="V5" s="36"/>
      <c r="W5" s="34">
        <f t="shared" ref="W5:Y5" si="0">+P5-O5</f>
        <v>1</v>
      </c>
      <c r="X5" s="1">
        <f t="shared" si="0"/>
        <v>2</v>
      </c>
      <c r="Y5" s="1">
        <f t="shared" si="0"/>
        <v>3</v>
      </c>
      <c r="Z5" s="1" t="s">
        <v>38</v>
      </c>
      <c r="XEZ5" s="37"/>
      <c r="XFA5" s="38"/>
      <c r="XFB5" s="39"/>
      <c r="XFC5" s="39"/>
      <c r="XFD5" s="40"/>
    </row>
    <row r="6" s="1" customFormat="1" ht="14.1" customHeight="1" spans="1:26 16380:16384">
      <c r="A6" s="24" t="s">
        <v>39</v>
      </c>
      <c r="B6" s="25">
        <v>46220</v>
      </c>
      <c r="C6" s="26"/>
      <c r="D6" s="26" t="s">
        <v>33</v>
      </c>
      <c r="E6" s="27" t="s">
        <v>40</v>
      </c>
      <c r="F6" s="28" t="s">
        <v>41</v>
      </c>
      <c r="G6" s="24" t="s">
        <v>42</v>
      </c>
      <c r="H6" s="29" t="s">
        <v>43</v>
      </c>
      <c r="I6" s="29" t="s">
        <v>44</v>
      </c>
      <c r="J6" s="24">
        <v>80000</v>
      </c>
      <c r="K6" s="30">
        <v>1.3</v>
      </c>
      <c r="L6" s="24">
        <v>80000</v>
      </c>
      <c r="M6" s="24">
        <f>+L6*K6</f>
        <v>104000</v>
      </c>
      <c r="N6" s="24" t="s">
        <v>45</v>
      </c>
      <c r="O6" s="26">
        <v>46226</v>
      </c>
      <c r="P6" s="26">
        <v>46237</v>
      </c>
      <c r="Q6" s="26"/>
      <c r="R6" s="26"/>
      <c r="S6" s="26"/>
      <c r="T6" s="32">
        <f ca="1">TODAY()-B6</f>
        <v>41</v>
      </c>
      <c r="U6" s="35"/>
      <c r="V6" s="3"/>
      <c r="W6" s="34">
        <f>+P6-O6</f>
        <v>11</v>
      </c>
      <c r="XEZ6" s="37"/>
      <c r="XFA6" s="38"/>
      <c r="XFB6" s="39"/>
      <c r="XFC6" s="39"/>
      <c r="XFD6" s="40"/>
    </row>
    <row r="7" s="1" customFormat="1" ht="14.1" customHeight="1" spans="1:26 16380:16384">
      <c r="A7" s="24" t="s">
        <v>46</v>
      </c>
      <c r="B7" s="25">
        <v>46223</v>
      </c>
      <c r="C7" s="26">
        <v>4510211214</v>
      </c>
      <c r="D7" s="26">
        <v>46220</v>
      </c>
      <c r="E7" s="27" t="s">
        <v>47</v>
      </c>
      <c r="F7" s="28" t="s">
        <v>48</v>
      </c>
      <c r="G7" s="24" t="s">
        <v>29</v>
      </c>
      <c r="H7" s="29">
        <v>1226334</v>
      </c>
      <c r="I7" s="29" t="s">
        <v>49</v>
      </c>
      <c r="J7" s="24">
        <v>31000</v>
      </c>
      <c r="K7" s="30">
        <v>7.25</v>
      </c>
      <c r="L7" s="24">
        <v>31000</v>
      </c>
      <c r="M7" s="24">
        <v>224750</v>
      </c>
      <c r="N7" s="24" t="s">
        <v>50</v>
      </c>
      <c r="O7" s="26">
        <v>46224</v>
      </c>
      <c r="P7" s="26"/>
      <c r="Q7" s="26"/>
      <c r="R7" s="26"/>
      <c r="S7" s="26"/>
      <c r="T7" s="32">
        <f ca="1">TODAY()-B7</f>
        <v>38</v>
      </c>
      <c r="U7" s="35"/>
      <c r="V7" s="3"/>
      <c r="W7" s="34"/>
      <c r="XEZ7" s="37"/>
      <c r="XFA7" s="38"/>
      <c r="XFB7" s="39"/>
      <c r="XFC7" s="39"/>
      <c r="XFD7" s="40"/>
    </row>
    <row r="8" s="1" customFormat="1" ht="14.1" customHeight="1" spans="1:26 16380:16384">
      <c r="A8" s="24" t="s">
        <v>51</v>
      </c>
      <c r="B8" s="25">
        <v>46227</v>
      </c>
      <c r="C8" s="26">
        <v>9500221584</v>
      </c>
      <c r="D8" s="26">
        <v>46226</v>
      </c>
      <c r="E8" s="27" t="s">
        <v>52</v>
      </c>
      <c r="F8" s="28" t="s">
        <v>53</v>
      </c>
      <c r="G8" s="24" t="s">
        <v>29</v>
      </c>
      <c r="H8" s="29">
        <v>2108156</v>
      </c>
      <c r="I8" s="29" t="s">
        <v>54</v>
      </c>
      <c r="J8" s="24">
        <v>130000</v>
      </c>
      <c r="K8" s="30">
        <v>2.3</v>
      </c>
      <c r="L8" s="24">
        <v>130000</v>
      </c>
      <c r="M8" s="24">
        <v>299000</v>
      </c>
      <c r="N8" s="24" t="s">
        <v>31</v>
      </c>
      <c r="O8" s="26">
        <v>46228</v>
      </c>
      <c r="P8" s="26">
        <v>46239</v>
      </c>
      <c r="Q8" s="26">
        <v>46239</v>
      </c>
      <c r="R8" s="26">
        <v>46241</v>
      </c>
      <c r="S8" s="31">
        <v>46258</v>
      </c>
      <c r="T8" s="32">
        <f ca="1">TODAY()-B8</f>
        <v>34</v>
      </c>
      <c r="U8" s="26"/>
      <c r="V8" s="3"/>
      <c r="W8" s="34">
        <f t="shared" ref="W8:Y8" si="1">+P8-O8</f>
        <v>11</v>
      </c>
      <c r="X8" s="1">
        <f t="shared" si="1"/>
        <v>0</v>
      </c>
      <c r="Y8" s="1">
        <f t="shared" si="1"/>
        <v>2</v>
      </c>
      <c r="Z8" s="1" t="s">
        <v>55</v>
      </c>
      <c r="XEZ8" s="37"/>
      <c r="XFA8" s="38"/>
      <c r="XFB8" s="39"/>
      <c r="XFC8" s="39"/>
      <c r="XFD8" s="40"/>
    </row>
    <row r="9" s="1" customFormat="1" ht="14.1" customHeight="1" spans="1:26 16380:16384">
      <c r="A9" s="24" t="s">
        <v>56</v>
      </c>
      <c r="B9" s="25">
        <v>46232</v>
      </c>
      <c r="C9" s="26">
        <v>4000317429</v>
      </c>
      <c r="D9" s="26">
        <v>46224</v>
      </c>
      <c r="E9" s="27" t="s">
        <v>47</v>
      </c>
      <c r="F9" s="41" t="s">
        <v>57</v>
      </c>
      <c r="G9" s="24" t="s">
        <v>29</v>
      </c>
      <c r="H9" s="29">
        <v>650009483</v>
      </c>
      <c r="I9" s="29" t="s">
        <v>58</v>
      </c>
      <c r="J9" s="24">
        <v>1000</v>
      </c>
      <c r="K9" s="30">
        <v>9.65</v>
      </c>
      <c r="L9" s="24">
        <v>1000</v>
      </c>
      <c r="M9" s="24">
        <v>9650</v>
      </c>
      <c r="N9" s="24" t="s">
        <v>59</v>
      </c>
      <c r="O9" s="26">
        <v>46233</v>
      </c>
      <c r="P9" s="26">
        <v>46245</v>
      </c>
      <c r="Q9" s="26"/>
      <c r="R9" s="26"/>
      <c r="S9" s="31">
        <v>46259</v>
      </c>
      <c r="T9" s="32">
        <f ca="1" t="shared" ref="T9:T11" si="2">TODAY()-U9</f>
        <v>6</v>
      </c>
      <c r="U9" s="26">
        <v>46255</v>
      </c>
      <c r="V9" s="3"/>
      <c r="XEZ9" s="37"/>
      <c r="XFA9" s="38"/>
      <c r="XFB9" s="39"/>
      <c r="XFC9" s="39"/>
      <c r="XFD9" s="40"/>
    </row>
    <row r="10" s="1" customFormat="1" ht="14.1" customHeight="1" spans="1:26 16380:16384">
      <c r="A10" s="24" t="s">
        <v>60</v>
      </c>
      <c r="B10" s="25">
        <v>46232</v>
      </c>
      <c r="C10" s="26">
        <v>4000317429</v>
      </c>
      <c r="D10" s="26">
        <v>46224</v>
      </c>
      <c r="E10" s="27" t="s">
        <v>47</v>
      </c>
      <c r="F10" s="41" t="s">
        <v>57</v>
      </c>
      <c r="G10" s="24" t="s">
        <v>29</v>
      </c>
      <c r="H10" s="29">
        <v>650009484</v>
      </c>
      <c r="I10" s="29" t="s">
        <v>61</v>
      </c>
      <c r="J10" s="24">
        <v>6000</v>
      </c>
      <c r="K10" s="30">
        <v>6.4</v>
      </c>
      <c r="L10" s="24">
        <v>6000</v>
      </c>
      <c r="M10" s="24">
        <v>38400</v>
      </c>
      <c r="N10" s="24" t="s">
        <v>59</v>
      </c>
      <c r="O10" s="26">
        <v>46233</v>
      </c>
      <c r="P10" s="26">
        <v>46245</v>
      </c>
      <c r="Q10" s="26"/>
      <c r="R10" s="26"/>
      <c r="S10" s="31">
        <v>46259</v>
      </c>
      <c r="T10" s="32">
        <f ca="1" t="shared" si="2"/>
        <v>6</v>
      </c>
      <c r="U10" s="26">
        <v>46255</v>
      </c>
      <c r="V10" s="3"/>
      <c r="XEZ10" s="37"/>
      <c r="XFA10" s="38"/>
      <c r="XFB10" s="39"/>
      <c r="XFC10" s="39"/>
      <c r="XFD10" s="40"/>
    </row>
    <row r="11" s="1" customFormat="1" ht="14.1" customHeight="1" spans="1:26 16380:16384">
      <c r="A11" s="24" t="s">
        <v>62</v>
      </c>
      <c r="B11" s="25">
        <v>46232</v>
      </c>
      <c r="C11" s="26">
        <v>4000317429</v>
      </c>
      <c r="D11" s="26">
        <v>46224</v>
      </c>
      <c r="E11" s="27" t="s">
        <v>47</v>
      </c>
      <c r="F11" s="41" t="s">
        <v>57</v>
      </c>
      <c r="G11" s="24" t="s">
        <v>29</v>
      </c>
      <c r="H11" s="29">
        <v>650009485</v>
      </c>
      <c r="I11" s="29" t="s">
        <v>63</v>
      </c>
      <c r="J11" s="24">
        <v>16000</v>
      </c>
      <c r="K11" s="30">
        <v>4.4</v>
      </c>
      <c r="L11" s="24">
        <v>16000</v>
      </c>
      <c r="M11" s="24">
        <v>70400</v>
      </c>
      <c r="N11" s="24" t="s">
        <v>59</v>
      </c>
      <c r="O11" s="26">
        <v>46233</v>
      </c>
      <c r="P11" s="26">
        <v>46245</v>
      </c>
      <c r="Q11" s="26"/>
      <c r="R11" s="26"/>
      <c r="S11" s="31">
        <v>46259</v>
      </c>
      <c r="T11" s="32">
        <f ca="1" t="shared" si="2"/>
        <v>6</v>
      </c>
      <c r="U11" s="26">
        <v>46255</v>
      </c>
      <c r="V11" s="3"/>
      <c r="XEZ11" s="37"/>
      <c r="XFA11" s="38"/>
      <c r="XFB11" s="39"/>
      <c r="XFC11" s="39"/>
      <c r="XFD11" s="40"/>
    </row>
    <row r="12" s="1" customFormat="1" ht="14.1" customHeight="1" spans="1:26 16380:16384">
      <c r="A12" s="24" t="s">
        <v>64</v>
      </c>
      <c r="B12" s="25">
        <v>46232</v>
      </c>
      <c r="C12" s="26">
        <v>4000317429</v>
      </c>
      <c r="D12" s="26">
        <v>46224</v>
      </c>
      <c r="E12" s="27" t="s">
        <v>47</v>
      </c>
      <c r="F12" s="41" t="s">
        <v>57</v>
      </c>
      <c r="G12" s="24" t="s">
        <v>29</v>
      </c>
      <c r="H12" s="29">
        <v>650010176</v>
      </c>
      <c r="I12" s="42" t="s">
        <v>65</v>
      </c>
      <c r="J12" s="24">
        <v>15000</v>
      </c>
      <c r="K12" s="30">
        <v>3.9</v>
      </c>
      <c r="L12" s="24">
        <v>15000</v>
      </c>
      <c r="M12" s="24">
        <v>58500</v>
      </c>
      <c r="N12" s="24" t="s">
        <v>59</v>
      </c>
      <c r="O12" s="26">
        <v>46233</v>
      </c>
      <c r="P12" s="26">
        <v>46237</v>
      </c>
      <c r="Q12" s="26"/>
      <c r="R12" s="26"/>
      <c r="S12" s="31">
        <v>46263</v>
      </c>
      <c r="T12" s="32">
        <f ca="1" t="shared" ref="T12:T25" si="3">TODAY()-B12</f>
        <v>29</v>
      </c>
      <c r="U12" s="26"/>
      <c r="V12" s="3"/>
      <c r="W12" s="34">
        <f t="shared" ref="W12:W24" si="4">+P12-O12</f>
        <v>4</v>
      </c>
      <c r="XEZ12" s="37"/>
      <c r="XFA12" s="38"/>
      <c r="XFB12" s="39"/>
      <c r="XFC12" s="39"/>
      <c r="XFD12" s="40"/>
    </row>
    <row r="13" s="1" customFormat="1" ht="14.1" customHeight="1" spans="1:26 16380:16384">
      <c r="A13" s="24" t="s">
        <v>66</v>
      </c>
      <c r="B13" s="25">
        <v>46232</v>
      </c>
      <c r="C13" s="26">
        <v>4000317429</v>
      </c>
      <c r="D13" s="26">
        <v>46224</v>
      </c>
      <c r="E13" s="27" t="s">
        <v>47</v>
      </c>
      <c r="F13" s="41" t="s">
        <v>57</v>
      </c>
      <c r="G13" s="24" t="s">
        <v>29</v>
      </c>
      <c r="H13" s="29">
        <v>650010448</v>
      </c>
      <c r="I13" s="29" t="s">
        <v>67</v>
      </c>
      <c r="J13" s="24">
        <v>2000</v>
      </c>
      <c r="K13" s="30">
        <v>9.2</v>
      </c>
      <c r="L13" s="24">
        <v>2000</v>
      </c>
      <c r="M13" s="24">
        <v>18400</v>
      </c>
      <c r="N13" s="24" t="s">
        <v>59</v>
      </c>
      <c r="O13" s="26">
        <v>46233</v>
      </c>
      <c r="P13" s="26">
        <v>46245</v>
      </c>
      <c r="Q13" s="26"/>
      <c r="R13" s="26"/>
      <c r="S13" s="31">
        <v>46259</v>
      </c>
      <c r="T13" s="32">
        <f ca="1">TODAY()-U13</f>
        <v>6</v>
      </c>
      <c r="U13" s="26">
        <v>46255</v>
      </c>
      <c r="V13" s="3"/>
      <c r="XEZ13" s="37"/>
      <c r="XFA13" s="38"/>
      <c r="XFB13" s="39"/>
      <c r="XFC13" s="39"/>
      <c r="XFD13" s="40"/>
    </row>
    <row r="14" s="1" customFormat="1" ht="14.1" customHeight="1" spans="1:26 16380:16384">
      <c r="A14" s="24" t="s">
        <v>68</v>
      </c>
      <c r="B14" s="25">
        <v>46232</v>
      </c>
      <c r="C14" s="26">
        <v>4000317429</v>
      </c>
      <c r="D14" s="26">
        <v>46224</v>
      </c>
      <c r="E14" s="27" t="s">
        <v>47</v>
      </c>
      <c r="F14" s="28" t="s">
        <v>57</v>
      </c>
      <c r="G14" s="24" t="s">
        <v>29</v>
      </c>
      <c r="H14" s="29">
        <v>650012349</v>
      </c>
      <c r="I14" s="42" t="s">
        <v>69</v>
      </c>
      <c r="J14" s="24">
        <v>1000</v>
      </c>
      <c r="K14" s="30">
        <v>11.5</v>
      </c>
      <c r="L14" s="24">
        <v>1000</v>
      </c>
      <c r="M14" s="24">
        <v>11500</v>
      </c>
      <c r="N14" s="24" t="s">
        <v>70</v>
      </c>
      <c r="O14" s="26">
        <v>46233</v>
      </c>
      <c r="P14" s="26">
        <v>46237</v>
      </c>
      <c r="Q14" s="26"/>
      <c r="R14" s="26"/>
      <c r="S14" s="26"/>
      <c r="T14" s="32">
        <f ca="1" t="shared" si="3"/>
        <v>29</v>
      </c>
      <c r="U14" s="26"/>
      <c r="V14" s="3"/>
      <c r="W14" s="34">
        <f t="shared" si="4"/>
        <v>4</v>
      </c>
      <c r="XEZ14" s="37"/>
      <c r="XFA14" s="38"/>
      <c r="XFB14" s="39"/>
      <c r="XFC14" s="39"/>
      <c r="XFD14" s="40"/>
    </row>
    <row r="15" s="1" customFormat="1" ht="14.1" customHeight="1" spans="1:26 16380:16384">
      <c r="A15" s="24" t="s">
        <v>71</v>
      </c>
      <c r="B15" s="25">
        <v>46232</v>
      </c>
      <c r="C15" s="26">
        <v>4000317429</v>
      </c>
      <c r="D15" s="26">
        <v>46224</v>
      </c>
      <c r="E15" s="27" t="s">
        <v>47</v>
      </c>
      <c r="F15" s="28" t="s">
        <v>57</v>
      </c>
      <c r="G15" s="24" t="s">
        <v>29</v>
      </c>
      <c r="H15" s="29">
        <v>650016082</v>
      </c>
      <c r="I15" s="29" t="s">
        <v>72</v>
      </c>
      <c r="J15" s="24">
        <v>20500</v>
      </c>
      <c r="K15" s="30">
        <v>3.72</v>
      </c>
      <c r="L15" s="24">
        <v>20500</v>
      </c>
      <c r="M15" s="24">
        <v>76260</v>
      </c>
      <c r="N15" s="43" t="s">
        <v>31</v>
      </c>
      <c r="O15" s="26">
        <v>46233</v>
      </c>
      <c r="P15" s="26">
        <v>46241</v>
      </c>
      <c r="Q15" s="26">
        <v>46241</v>
      </c>
      <c r="R15" s="26">
        <v>46245</v>
      </c>
      <c r="S15" s="26"/>
      <c r="T15" s="32">
        <f ca="1" t="shared" si="3"/>
        <v>29</v>
      </c>
      <c r="U15" s="26"/>
      <c r="V15" s="3"/>
      <c r="W15" s="34">
        <f t="shared" si="4"/>
        <v>8</v>
      </c>
      <c r="X15" s="1">
        <f t="shared" ref="X15:X24" si="5">+Q15-P15</f>
        <v>0</v>
      </c>
      <c r="Y15" s="1">
        <f t="shared" ref="Y15:Y24" si="6">+R15-Q15</f>
        <v>4</v>
      </c>
      <c r="XEZ15" s="37"/>
      <c r="XFA15" s="38"/>
      <c r="XFB15" s="39"/>
      <c r="XFC15" s="39"/>
      <c r="XFD15" s="40"/>
    </row>
    <row r="16" s="1" customFormat="1" ht="14.1" customHeight="1" spans="1:26 16380:16384">
      <c r="A16" s="24" t="s">
        <v>73</v>
      </c>
      <c r="B16" s="25">
        <v>46232</v>
      </c>
      <c r="C16" s="26">
        <v>4000317429</v>
      </c>
      <c r="D16" s="26">
        <v>46224</v>
      </c>
      <c r="E16" s="27" t="s">
        <v>47</v>
      </c>
      <c r="F16" s="28" t="s">
        <v>57</v>
      </c>
      <c r="G16" s="24" t="s">
        <v>29</v>
      </c>
      <c r="H16" s="29">
        <v>650016887</v>
      </c>
      <c r="I16" s="29" t="s">
        <v>74</v>
      </c>
      <c r="J16" s="24">
        <v>10000</v>
      </c>
      <c r="K16" s="30">
        <v>3.6</v>
      </c>
      <c r="L16" s="24">
        <v>10000</v>
      </c>
      <c r="M16" s="24">
        <v>36000</v>
      </c>
      <c r="N16" s="43" t="s">
        <v>31</v>
      </c>
      <c r="O16" s="26">
        <v>46233</v>
      </c>
      <c r="P16" s="26">
        <v>46234</v>
      </c>
      <c r="Q16" s="26">
        <v>46237</v>
      </c>
      <c r="R16" s="26">
        <v>46239</v>
      </c>
      <c r="S16" s="26"/>
      <c r="T16" s="32">
        <f ca="1" t="shared" si="3"/>
        <v>29</v>
      </c>
      <c r="U16" s="26"/>
      <c r="V16" s="3"/>
      <c r="W16" s="34">
        <f t="shared" si="4"/>
        <v>1</v>
      </c>
      <c r="X16" s="1">
        <f t="shared" si="5"/>
        <v>3</v>
      </c>
      <c r="Y16" s="1">
        <f t="shared" si="6"/>
        <v>2</v>
      </c>
      <c r="Z16" s="1" t="s">
        <v>38</v>
      </c>
      <c r="XEZ16" s="37"/>
      <c r="XFA16" s="38"/>
      <c r="XFB16" s="39"/>
      <c r="XFC16" s="39"/>
      <c r="XFD16" s="40"/>
    </row>
    <row r="17" s="1" customFormat="1" ht="14.1" customHeight="1" spans="1:26 16380:16384">
      <c r="A17" s="24" t="s">
        <v>75</v>
      </c>
      <c r="B17" s="25">
        <v>46232</v>
      </c>
      <c r="C17" s="26">
        <v>4000317429</v>
      </c>
      <c r="D17" s="26">
        <v>46224</v>
      </c>
      <c r="E17" s="27" t="s">
        <v>47</v>
      </c>
      <c r="F17" s="28" t="s">
        <v>57</v>
      </c>
      <c r="G17" s="24" t="s">
        <v>29</v>
      </c>
      <c r="H17" s="29">
        <v>650016892</v>
      </c>
      <c r="I17" s="29" t="s">
        <v>76</v>
      </c>
      <c r="J17" s="24">
        <v>12000</v>
      </c>
      <c r="K17" s="30">
        <v>3.6</v>
      </c>
      <c r="L17" s="24">
        <v>12000</v>
      </c>
      <c r="M17" s="24">
        <v>43200</v>
      </c>
      <c r="N17" s="43" t="s">
        <v>31</v>
      </c>
      <c r="O17" s="26">
        <v>46233</v>
      </c>
      <c r="P17" s="26">
        <v>46234</v>
      </c>
      <c r="Q17" s="26">
        <v>46237</v>
      </c>
      <c r="R17" s="26">
        <v>46239</v>
      </c>
      <c r="S17" s="31">
        <v>46258</v>
      </c>
      <c r="T17" s="32">
        <f ca="1" t="shared" si="3"/>
        <v>29</v>
      </c>
      <c r="U17" s="26"/>
      <c r="V17" s="3"/>
      <c r="W17" s="34">
        <f t="shared" si="4"/>
        <v>1</v>
      </c>
      <c r="X17" s="1">
        <f t="shared" si="5"/>
        <v>3</v>
      </c>
      <c r="Y17" s="1">
        <f t="shared" si="6"/>
        <v>2</v>
      </c>
      <c r="Z17" s="1" t="s">
        <v>38</v>
      </c>
      <c r="XEZ17" s="37"/>
      <c r="XFA17" s="38"/>
      <c r="XFB17" s="39"/>
      <c r="XFC17" s="39"/>
      <c r="XFD17" s="40"/>
    </row>
    <row r="18" s="1" customFormat="1" ht="14.1" customHeight="1" spans="1:26 16380:16384">
      <c r="A18" s="24" t="s">
        <v>77</v>
      </c>
      <c r="B18" s="25">
        <v>46232</v>
      </c>
      <c r="C18" s="26">
        <v>4000317429</v>
      </c>
      <c r="D18" s="26">
        <v>46224</v>
      </c>
      <c r="E18" s="27" t="s">
        <v>47</v>
      </c>
      <c r="F18" s="28" t="s">
        <v>57</v>
      </c>
      <c r="G18" s="24" t="s">
        <v>42</v>
      </c>
      <c r="H18" s="29">
        <v>650016884</v>
      </c>
      <c r="I18" s="29" t="s">
        <v>78</v>
      </c>
      <c r="J18" s="24">
        <v>3000</v>
      </c>
      <c r="K18" s="30">
        <v>4.4</v>
      </c>
      <c r="L18" s="24">
        <v>3000</v>
      </c>
      <c r="M18" s="24">
        <v>13200</v>
      </c>
      <c r="N18" s="43" t="s">
        <v>31</v>
      </c>
      <c r="O18" s="26">
        <v>46233</v>
      </c>
      <c r="P18" s="26">
        <v>46234</v>
      </c>
      <c r="Q18" s="26">
        <v>46237</v>
      </c>
      <c r="R18" s="26">
        <v>46239</v>
      </c>
      <c r="S18" s="26"/>
      <c r="T18" s="32">
        <f ca="1" t="shared" si="3"/>
        <v>29</v>
      </c>
      <c r="U18" s="26"/>
      <c r="V18" s="3"/>
      <c r="W18" s="34">
        <f t="shared" si="4"/>
        <v>1</v>
      </c>
      <c r="X18" s="1">
        <f t="shared" si="5"/>
        <v>3</v>
      </c>
      <c r="Y18" s="1">
        <f t="shared" si="6"/>
        <v>2</v>
      </c>
      <c r="Z18" s="1" t="s">
        <v>45</v>
      </c>
      <c r="XEZ18" s="37"/>
      <c r="XFA18" s="38"/>
      <c r="XFB18" s="39"/>
      <c r="XFC18" s="39"/>
      <c r="XFD18" s="40"/>
    </row>
    <row r="19" s="1" customFormat="1" ht="14.1" customHeight="1" spans="1:26 16380:16384">
      <c r="A19" s="24" t="s">
        <v>79</v>
      </c>
      <c r="B19" s="25">
        <v>46232</v>
      </c>
      <c r="C19" s="26">
        <v>4000317429</v>
      </c>
      <c r="D19" s="26">
        <v>46224</v>
      </c>
      <c r="E19" s="27" t="s">
        <v>47</v>
      </c>
      <c r="F19" s="28" t="s">
        <v>57</v>
      </c>
      <c r="G19" s="24" t="s">
        <v>42</v>
      </c>
      <c r="H19" s="29">
        <v>650016885</v>
      </c>
      <c r="I19" s="29" t="s">
        <v>80</v>
      </c>
      <c r="J19" s="24">
        <v>3000</v>
      </c>
      <c r="K19" s="30">
        <v>4.4</v>
      </c>
      <c r="L19" s="24">
        <v>3000</v>
      </c>
      <c r="M19" s="24">
        <v>13200</v>
      </c>
      <c r="N19" s="43" t="s">
        <v>31</v>
      </c>
      <c r="O19" s="26">
        <v>46233</v>
      </c>
      <c r="P19" s="26">
        <v>46234</v>
      </c>
      <c r="Q19" s="26">
        <v>46237</v>
      </c>
      <c r="R19" s="26">
        <v>46238</v>
      </c>
      <c r="S19" s="26"/>
      <c r="T19" s="32">
        <f ca="1" t="shared" si="3"/>
        <v>29</v>
      </c>
      <c r="U19" s="26"/>
      <c r="V19" s="3"/>
      <c r="W19" s="34">
        <f t="shared" si="4"/>
        <v>1</v>
      </c>
      <c r="X19" s="1">
        <f t="shared" si="5"/>
        <v>3</v>
      </c>
      <c r="Y19" s="1">
        <f t="shared" si="6"/>
        <v>1</v>
      </c>
      <c r="Z19" s="1" t="s">
        <v>45</v>
      </c>
      <c r="XEZ19" s="37"/>
      <c r="XFA19" s="38"/>
      <c r="XFB19" s="39"/>
      <c r="XFC19" s="39"/>
      <c r="XFD19" s="40"/>
    </row>
    <row r="20" s="1" customFormat="1" ht="14.1" customHeight="1" spans="1:26 16380:16384">
      <c r="A20" s="24" t="s">
        <v>81</v>
      </c>
      <c r="B20" s="25">
        <v>46232</v>
      </c>
      <c r="C20" s="26">
        <v>4000317429</v>
      </c>
      <c r="D20" s="26">
        <v>46224</v>
      </c>
      <c r="E20" s="27" t="s">
        <v>47</v>
      </c>
      <c r="F20" s="28" t="s">
        <v>57</v>
      </c>
      <c r="G20" s="24" t="s">
        <v>42</v>
      </c>
      <c r="H20" s="29">
        <v>650016886</v>
      </c>
      <c r="I20" s="29" t="s">
        <v>82</v>
      </c>
      <c r="J20" s="24">
        <v>6000</v>
      </c>
      <c r="K20" s="30">
        <v>4.4</v>
      </c>
      <c r="L20" s="24">
        <v>6000</v>
      </c>
      <c r="M20" s="24">
        <v>26400</v>
      </c>
      <c r="N20" s="43" t="s">
        <v>31</v>
      </c>
      <c r="O20" s="26">
        <v>46233</v>
      </c>
      <c r="P20" s="26">
        <v>46234</v>
      </c>
      <c r="Q20" s="26">
        <v>46237</v>
      </c>
      <c r="R20" s="26">
        <v>46240</v>
      </c>
      <c r="S20" s="26"/>
      <c r="T20" s="32">
        <f ca="1" t="shared" si="3"/>
        <v>29</v>
      </c>
      <c r="U20" s="26"/>
      <c r="V20" s="3"/>
      <c r="W20" s="34">
        <f t="shared" si="4"/>
        <v>1</v>
      </c>
      <c r="X20" s="1">
        <f t="shared" si="5"/>
        <v>3</v>
      </c>
      <c r="Y20" s="1">
        <f t="shared" si="6"/>
        <v>3</v>
      </c>
      <c r="Z20" s="1" t="s">
        <v>45</v>
      </c>
      <c r="XEZ20" s="37"/>
      <c r="XFA20" s="38"/>
      <c r="XFB20" s="39"/>
      <c r="XFC20" s="39"/>
      <c r="XFD20" s="40"/>
    </row>
    <row r="21" s="1" customFormat="1" ht="14.1" customHeight="1" spans="1:26 16380:16384">
      <c r="A21" s="24" t="s">
        <v>83</v>
      </c>
      <c r="B21" s="25">
        <v>46234</v>
      </c>
      <c r="C21" s="26">
        <v>8110001340</v>
      </c>
      <c r="D21" s="26">
        <v>46232</v>
      </c>
      <c r="E21" s="27" t="s">
        <v>84</v>
      </c>
      <c r="F21" s="28" t="s">
        <v>85</v>
      </c>
      <c r="G21" s="24" t="s">
        <v>29</v>
      </c>
      <c r="H21" s="29">
        <v>1048507</v>
      </c>
      <c r="I21" s="29" t="s">
        <v>86</v>
      </c>
      <c r="J21" s="24">
        <v>10000</v>
      </c>
      <c r="K21" s="30"/>
      <c r="L21" s="24">
        <v>10000</v>
      </c>
      <c r="M21" s="24">
        <v>65500</v>
      </c>
      <c r="N21" s="24" t="s">
        <v>31</v>
      </c>
      <c r="O21" s="26">
        <v>46238</v>
      </c>
      <c r="P21" s="26">
        <v>46239</v>
      </c>
      <c r="Q21" s="26">
        <v>46240</v>
      </c>
      <c r="R21" s="26">
        <v>46246</v>
      </c>
      <c r="S21" s="31">
        <v>46260</v>
      </c>
      <c r="T21" s="32">
        <f ca="1" t="shared" si="3"/>
        <v>27</v>
      </c>
      <c r="U21" s="26"/>
      <c r="V21" s="3"/>
      <c r="W21" s="34">
        <f t="shared" si="4"/>
        <v>1</v>
      </c>
      <c r="X21" s="1">
        <f t="shared" si="5"/>
        <v>1</v>
      </c>
      <c r="Y21" s="1">
        <f t="shared" si="6"/>
        <v>6</v>
      </c>
      <c r="XEZ21" s="37"/>
      <c r="XFA21" s="38"/>
      <c r="XFB21" s="39"/>
      <c r="XFC21" s="39"/>
      <c r="XFD21" s="40"/>
    </row>
    <row r="22" s="1" customFormat="1" ht="14.1" customHeight="1" spans="1:26 16380:16384">
      <c r="A22" s="24" t="s">
        <v>87</v>
      </c>
      <c r="B22" s="25">
        <v>46234</v>
      </c>
      <c r="C22" s="26">
        <v>4500040664</v>
      </c>
      <c r="D22" s="26">
        <v>46232</v>
      </c>
      <c r="E22" s="27" t="s">
        <v>88</v>
      </c>
      <c r="F22" s="28" t="s">
        <v>89</v>
      </c>
      <c r="G22" s="24" t="s">
        <v>29</v>
      </c>
      <c r="H22" s="29" t="s">
        <v>90</v>
      </c>
      <c r="I22" s="29" t="s">
        <v>91</v>
      </c>
      <c r="J22" s="24">
        <v>8000</v>
      </c>
      <c r="K22" s="30"/>
      <c r="L22" s="24">
        <v>8000</v>
      </c>
      <c r="M22" s="24">
        <v>80960</v>
      </c>
      <c r="N22" s="24" t="s">
        <v>31</v>
      </c>
      <c r="O22" s="26">
        <v>46238</v>
      </c>
      <c r="P22" s="26">
        <v>46245</v>
      </c>
      <c r="Q22" s="26">
        <v>46248</v>
      </c>
      <c r="R22" s="26">
        <v>46252</v>
      </c>
      <c r="S22" s="26"/>
      <c r="T22" s="32">
        <f ca="1" t="shared" si="3"/>
        <v>27</v>
      </c>
      <c r="U22" s="26"/>
      <c r="V22" s="3"/>
      <c r="W22" s="34">
        <f t="shared" si="4"/>
        <v>7</v>
      </c>
      <c r="X22" s="1">
        <f t="shared" si="5"/>
        <v>3</v>
      </c>
      <c r="Y22" s="1">
        <f t="shared" si="6"/>
        <v>4</v>
      </c>
      <c r="XEZ22" s="37"/>
      <c r="XFA22" s="38"/>
      <c r="XFB22" s="39"/>
      <c r="XFC22" s="39"/>
      <c r="XFD22" s="40"/>
    </row>
    <row r="23" s="1" customFormat="1" ht="14.1" customHeight="1" spans="1:26 16380:16384">
      <c r="A23" s="24" t="s">
        <v>92</v>
      </c>
      <c r="B23" s="25">
        <v>46234</v>
      </c>
      <c r="C23" s="26">
        <v>4500040664</v>
      </c>
      <c r="D23" s="26">
        <v>46232</v>
      </c>
      <c r="E23" s="27" t="s">
        <v>88</v>
      </c>
      <c r="F23" s="28" t="s">
        <v>89</v>
      </c>
      <c r="G23" s="24" t="s">
        <v>29</v>
      </c>
      <c r="H23" s="29" t="s">
        <v>93</v>
      </c>
      <c r="I23" s="29" t="s">
        <v>94</v>
      </c>
      <c r="J23" s="24">
        <v>24000</v>
      </c>
      <c r="K23" s="30"/>
      <c r="L23" s="24">
        <v>24000</v>
      </c>
      <c r="M23" s="24">
        <v>50400</v>
      </c>
      <c r="N23" s="24" t="s">
        <v>31</v>
      </c>
      <c r="O23" s="26">
        <v>46238</v>
      </c>
      <c r="P23" s="26">
        <v>46241</v>
      </c>
      <c r="Q23" s="26">
        <f>+P23</f>
        <v>46241</v>
      </c>
      <c r="R23" s="26">
        <v>46251</v>
      </c>
      <c r="S23" s="26"/>
      <c r="T23" s="32">
        <f ca="1" t="shared" si="3"/>
        <v>27</v>
      </c>
      <c r="U23" s="26"/>
      <c r="V23" s="3"/>
      <c r="W23" s="34">
        <f t="shared" si="4"/>
        <v>3</v>
      </c>
      <c r="X23" s="1">
        <f t="shared" si="5"/>
        <v>0</v>
      </c>
      <c r="Y23" s="1">
        <f t="shared" si="6"/>
        <v>10</v>
      </c>
      <c r="XEZ23" s="37"/>
      <c r="XFA23" s="38"/>
      <c r="XFB23" s="39"/>
      <c r="XFC23" s="39"/>
      <c r="XFD23" s="40"/>
    </row>
    <row r="24" s="1" customFormat="1" ht="14.1" customHeight="1" spans="1:26 16380:16384">
      <c r="A24" s="24" t="s">
        <v>95</v>
      </c>
      <c r="B24" s="25">
        <v>46235.7034722222</v>
      </c>
      <c r="C24" s="26" t="s">
        <v>96</v>
      </c>
      <c r="D24" s="26"/>
      <c r="E24" s="27"/>
      <c r="F24" s="28" t="s">
        <v>97</v>
      </c>
      <c r="G24" s="24" t="s">
        <v>29</v>
      </c>
      <c r="H24" s="29">
        <v>949129282</v>
      </c>
      <c r="I24" s="29" t="s">
        <v>98</v>
      </c>
      <c r="J24" s="24">
        <v>15000</v>
      </c>
      <c r="K24" s="30">
        <v>2.7</v>
      </c>
      <c r="L24" s="24">
        <v>15000</v>
      </c>
      <c r="M24" s="24">
        <v>40500</v>
      </c>
      <c r="N24" s="24" t="s">
        <v>31</v>
      </c>
      <c r="O24" s="26">
        <v>46237</v>
      </c>
      <c r="P24" s="26">
        <v>46238</v>
      </c>
      <c r="Q24" s="26">
        <v>46241</v>
      </c>
      <c r="R24" s="26">
        <v>46242</v>
      </c>
      <c r="S24" s="26"/>
      <c r="T24" s="32">
        <f ca="1" t="shared" si="3"/>
        <v>25.2965277777985</v>
      </c>
      <c r="U24" s="26"/>
      <c r="V24" s="3"/>
      <c r="W24" s="34">
        <f t="shared" si="4"/>
        <v>1</v>
      </c>
      <c r="X24" s="1">
        <f t="shared" si="5"/>
        <v>3</v>
      </c>
      <c r="Y24" s="1">
        <f t="shared" si="6"/>
        <v>1</v>
      </c>
      <c r="XEZ24" s="37"/>
      <c r="XFA24" s="38"/>
      <c r="XFB24" s="39"/>
      <c r="XFC24" s="39"/>
      <c r="XFD24" s="40"/>
    </row>
    <row r="25" s="1" customFormat="1" ht="12" customHeight="1" spans="1:26 16380:16384">
      <c r="A25" s="24" t="s">
        <v>99</v>
      </c>
      <c r="B25" s="25">
        <v>46235.7048611111</v>
      </c>
      <c r="C25" s="26" t="s">
        <v>100</v>
      </c>
      <c r="D25" s="26"/>
      <c r="E25" s="27"/>
      <c r="F25" s="28" t="s">
        <v>41</v>
      </c>
      <c r="G25" s="24" t="s">
        <v>29</v>
      </c>
      <c r="H25" s="29" t="s">
        <v>101</v>
      </c>
      <c r="I25" s="29" t="s">
        <v>102</v>
      </c>
      <c r="J25" s="24">
        <v>52000</v>
      </c>
      <c r="K25" s="30">
        <v>3</v>
      </c>
      <c r="L25" s="24">
        <f>52000-25700</f>
        <v>26300</v>
      </c>
      <c r="M25" s="24">
        <f>+L25*K25</f>
        <v>78900</v>
      </c>
      <c r="N25" s="24" t="s">
        <v>50</v>
      </c>
      <c r="O25" s="26">
        <v>46237</v>
      </c>
      <c r="P25" s="26"/>
      <c r="Q25" s="26"/>
      <c r="R25" s="26"/>
      <c r="S25" s="26"/>
      <c r="T25" s="32">
        <f ca="1" t="shared" si="3"/>
        <v>25.2951388888978</v>
      </c>
      <c r="U25" s="26"/>
      <c r="V25" s="3"/>
      <c r="W25" s="34"/>
      <c r="XEZ25" s="37"/>
      <c r="XFA25" s="38"/>
      <c r="XFB25" s="39"/>
      <c r="XFC25" s="39"/>
      <c r="XFD25" s="40"/>
    </row>
    <row r="26" s="1" customFormat="1" ht="14.1" customHeight="1" spans="1:26 16380:16384">
      <c r="A26" s="25" t="s">
        <v>103</v>
      </c>
      <c r="B26" s="25">
        <v>46237</v>
      </c>
      <c r="C26" s="26">
        <v>9500223893</v>
      </c>
      <c r="D26" s="26">
        <v>46235</v>
      </c>
      <c r="E26" s="27" t="s">
        <v>27</v>
      </c>
      <c r="F26" s="28" t="s">
        <v>104</v>
      </c>
      <c r="G26" s="24" t="s">
        <v>42</v>
      </c>
      <c r="H26" s="29" t="s">
        <v>105</v>
      </c>
      <c r="I26" s="29" t="s">
        <v>106</v>
      </c>
      <c r="J26" s="24">
        <v>18000</v>
      </c>
      <c r="K26" s="30">
        <v>4.15</v>
      </c>
      <c r="L26" s="24">
        <v>18000</v>
      </c>
      <c r="M26" s="24">
        <v>74700</v>
      </c>
      <c r="N26" s="24" t="s">
        <v>107</v>
      </c>
      <c r="O26" s="26">
        <v>46240</v>
      </c>
      <c r="P26" s="26">
        <v>46244</v>
      </c>
      <c r="Q26" s="26">
        <v>46251</v>
      </c>
      <c r="R26" s="26"/>
      <c r="S26" s="26"/>
      <c r="T26" s="32">
        <f ca="1" t="shared" ref="T26:T29" si="7">TODAY()-U26</f>
        <v>20</v>
      </c>
      <c r="U26" s="26">
        <v>46241</v>
      </c>
      <c r="V26" s="3"/>
      <c r="W26" s="34">
        <f t="shared" ref="W26:W29" si="8">+P26-O26</f>
        <v>4</v>
      </c>
      <c r="X26" s="1">
        <f t="shared" ref="X26:X29" si="9">+Q26-P26</f>
        <v>7</v>
      </c>
      <c r="XEZ26" s="37"/>
      <c r="XFA26" s="38"/>
      <c r="XFB26" s="39"/>
      <c r="XFC26" s="39"/>
      <c r="XFD26" s="40"/>
    </row>
    <row r="27" s="1" customFormat="1" ht="14.1" customHeight="1" spans="1:26 16380:16384">
      <c r="A27" s="25" t="s">
        <v>108</v>
      </c>
      <c r="B27" s="25">
        <v>46237</v>
      </c>
      <c r="C27" s="26">
        <v>9500223893</v>
      </c>
      <c r="D27" s="26">
        <v>46235</v>
      </c>
      <c r="E27" s="27" t="s">
        <v>27</v>
      </c>
      <c r="F27" s="28" t="s">
        <v>104</v>
      </c>
      <c r="G27" s="24" t="s">
        <v>42</v>
      </c>
      <c r="H27" s="29" t="s">
        <v>109</v>
      </c>
      <c r="I27" s="29" t="s">
        <v>110</v>
      </c>
      <c r="J27" s="24">
        <v>2000</v>
      </c>
      <c r="K27" s="30">
        <v>11.5</v>
      </c>
      <c r="L27" s="24">
        <v>2000</v>
      </c>
      <c r="M27" s="24">
        <v>23000</v>
      </c>
      <c r="N27" s="24" t="s">
        <v>59</v>
      </c>
      <c r="O27" s="26">
        <v>46240</v>
      </c>
      <c r="P27" s="26">
        <v>46244</v>
      </c>
      <c r="Q27" s="26"/>
      <c r="R27" s="26"/>
      <c r="S27" s="31">
        <v>46261</v>
      </c>
      <c r="T27" s="32">
        <f ca="1" t="shared" si="7"/>
        <v>20</v>
      </c>
      <c r="U27" s="26">
        <v>46241</v>
      </c>
      <c r="V27" s="3"/>
      <c r="W27" s="34">
        <f t="shared" si="8"/>
        <v>4</v>
      </c>
      <c r="XEZ27" s="37"/>
      <c r="XFA27" s="38"/>
      <c r="XFB27" s="39"/>
      <c r="XFC27" s="39"/>
      <c r="XFD27" s="40"/>
    </row>
    <row r="28" s="1" customFormat="1" ht="14.1" customHeight="1" spans="1:26 16380:16384">
      <c r="A28" s="25" t="s">
        <v>111</v>
      </c>
      <c r="B28" s="25">
        <v>46237</v>
      </c>
      <c r="C28" s="26">
        <v>9500223893</v>
      </c>
      <c r="D28" s="26">
        <v>46235</v>
      </c>
      <c r="E28" s="27" t="s">
        <v>27</v>
      </c>
      <c r="F28" s="28" t="s">
        <v>104</v>
      </c>
      <c r="G28" s="24" t="s">
        <v>42</v>
      </c>
      <c r="H28" s="29">
        <v>2093374</v>
      </c>
      <c r="I28" s="29" t="s">
        <v>112</v>
      </c>
      <c r="J28" s="24">
        <v>15000</v>
      </c>
      <c r="K28" s="30">
        <v>3.1</v>
      </c>
      <c r="L28" s="24">
        <v>15000</v>
      </c>
      <c r="M28" s="24">
        <v>46500</v>
      </c>
      <c r="N28" s="24" t="s">
        <v>107</v>
      </c>
      <c r="O28" s="26">
        <v>46240</v>
      </c>
      <c r="P28" s="26">
        <v>46244</v>
      </c>
      <c r="Q28" s="26">
        <v>46256</v>
      </c>
      <c r="R28" s="26"/>
      <c r="S28" s="31">
        <v>46261</v>
      </c>
      <c r="T28" s="32">
        <f ca="1" t="shared" si="7"/>
        <v>20</v>
      </c>
      <c r="U28" s="26">
        <v>46241</v>
      </c>
      <c r="V28" s="3"/>
      <c r="W28" s="34">
        <f t="shared" si="8"/>
        <v>4</v>
      </c>
      <c r="X28" s="1">
        <f t="shared" si="9"/>
        <v>12</v>
      </c>
      <c r="XEZ28" s="37"/>
      <c r="XFA28" s="38"/>
      <c r="XFB28" s="39"/>
      <c r="XFC28" s="39"/>
      <c r="XFD28" s="40"/>
    </row>
    <row r="29" s="1" customFormat="1" ht="14.1" customHeight="1" spans="1:26 16380:16384">
      <c r="A29" s="25" t="s">
        <v>113</v>
      </c>
      <c r="B29" s="25">
        <v>46237</v>
      </c>
      <c r="C29" s="26">
        <v>9500223893</v>
      </c>
      <c r="D29" s="26">
        <v>46235</v>
      </c>
      <c r="E29" s="27" t="s">
        <v>27</v>
      </c>
      <c r="F29" s="28" t="s">
        <v>104</v>
      </c>
      <c r="G29" s="24" t="s">
        <v>42</v>
      </c>
      <c r="H29" s="29">
        <v>2108135</v>
      </c>
      <c r="I29" s="29" t="s">
        <v>114</v>
      </c>
      <c r="J29" s="24">
        <v>12000</v>
      </c>
      <c r="K29" s="30">
        <v>4</v>
      </c>
      <c r="L29" s="24">
        <v>12000</v>
      </c>
      <c r="M29" s="24">
        <v>48000</v>
      </c>
      <c r="N29" s="24" t="s">
        <v>31</v>
      </c>
      <c r="O29" s="26">
        <v>46240</v>
      </c>
      <c r="P29" s="26">
        <v>46244</v>
      </c>
      <c r="Q29" s="26">
        <v>46256</v>
      </c>
      <c r="R29" s="26">
        <v>46260</v>
      </c>
      <c r="S29" s="31">
        <v>46261</v>
      </c>
      <c r="T29" s="32">
        <f ca="1" t="shared" si="7"/>
        <v>20</v>
      </c>
      <c r="U29" s="26">
        <v>46241</v>
      </c>
      <c r="V29" s="3"/>
      <c r="W29" s="34">
        <f t="shared" si="8"/>
        <v>4</v>
      </c>
      <c r="X29" s="1">
        <f t="shared" si="9"/>
        <v>12</v>
      </c>
      <c r="XEZ29" s="37"/>
      <c r="XFA29" s="38"/>
      <c r="XFB29" s="39"/>
      <c r="XFC29" s="39"/>
      <c r="XFD29" s="40"/>
    </row>
    <row r="30" s="1" customFormat="1" ht="14.1" customHeight="1" spans="1:26 16380:16384">
      <c r="A30" s="25" t="s">
        <v>115</v>
      </c>
      <c r="B30" s="25">
        <v>46237</v>
      </c>
      <c r="C30" s="26">
        <v>4510211732</v>
      </c>
      <c r="D30" s="26">
        <v>46234</v>
      </c>
      <c r="E30" s="27" t="s">
        <v>116</v>
      </c>
      <c r="F30" s="28" t="s">
        <v>117</v>
      </c>
      <c r="G30" s="24" t="s">
        <v>29</v>
      </c>
      <c r="H30" s="29" t="s">
        <v>118</v>
      </c>
      <c r="I30" s="29" t="s">
        <v>119</v>
      </c>
      <c r="J30" s="24">
        <v>74700</v>
      </c>
      <c r="K30" s="30">
        <v>1.3716</v>
      </c>
      <c r="L30" s="24">
        <v>74700</v>
      </c>
      <c r="M30" s="24">
        <v>102458.52</v>
      </c>
      <c r="N30" s="24" t="s">
        <v>70</v>
      </c>
      <c r="O30" s="26">
        <v>46239</v>
      </c>
      <c r="P30" s="26"/>
      <c r="Q30" s="26"/>
      <c r="R30" s="26"/>
      <c r="S30" s="26"/>
      <c r="T30" s="32">
        <f ca="1" t="shared" ref="T30:T38" si="10">TODAY()-B30</f>
        <v>24</v>
      </c>
      <c r="U30" s="26"/>
      <c r="V30" s="3"/>
      <c r="W30" s="34"/>
      <c r="XEZ30" s="37"/>
      <c r="XFA30" s="38"/>
      <c r="XFB30" s="39"/>
      <c r="XFC30" s="39"/>
      <c r="XFD30" s="40"/>
    </row>
    <row r="31" s="1" customFormat="1" ht="14.1" customHeight="1" spans="1:26 16380:16384">
      <c r="A31" s="25" t="s">
        <v>120</v>
      </c>
      <c r="B31" s="25">
        <v>46237</v>
      </c>
      <c r="C31" s="26">
        <v>8110001410</v>
      </c>
      <c r="D31" s="26">
        <v>46234</v>
      </c>
      <c r="E31" s="27" t="s">
        <v>121</v>
      </c>
      <c r="F31" s="41" t="s">
        <v>85</v>
      </c>
      <c r="G31" s="24" t="s">
        <v>42</v>
      </c>
      <c r="H31" s="29">
        <v>1054208</v>
      </c>
      <c r="I31" s="29" t="s">
        <v>122</v>
      </c>
      <c r="J31" s="24">
        <v>25000</v>
      </c>
      <c r="K31" s="30">
        <v>4.05</v>
      </c>
      <c r="L31" s="24">
        <v>25000</v>
      </c>
      <c r="M31" s="24">
        <v>101250</v>
      </c>
      <c r="N31" s="24" t="s">
        <v>31</v>
      </c>
      <c r="O31" s="26">
        <v>46245</v>
      </c>
      <c r="P31" s="26">
        <v>46255</v>
      </c>
      <c r="Q31" s="26">
        <v>46259</v>
      </c>
      <c r="R31" s="26">
        <v>46260</v>
      </c>
      <c r="S31" s="31">
        <v>46262</v>
      </c>
      <c r="T31" s="32">
        <f ca="1">TODAY()-U31</f>
        <v>7</v>
      </c>
      <c r="U31" s="26">
        <v>46254</v>
      </c>
      <c r="V31" s="3"/>
      <c r="XEZ31" s="37"/>
      <c r="XFA31" s="38"/>
      <c r="XFB31" s="39"/>
      <c r="XFC31" s="39"/>
      <c r="XFD31" s="40"/>
    </row>
    <row r="32" s="1" customFormat="1" ht="14.1" customHeight="1" spans="1:26 16380:16384">
      <c r="A32" s="25" t="s">
        <v>123</v>
      </c>
      <c r="B32" s="25">
        <v>46237</v>
      </c>
      <c r="C32" s="26">
        <v>8110001410</v>
      </c>
      <c r="D32" s="26">
        <v>46234</v>
      </c>
      <c r="E32" s="27" t="s">
        <v>121</v>
      </c>
      <c r="F32" s="41" t="s">
        <v>85</v>
      </c>
      <c r="G32" s="24" t="s">
        <v>42</v>
      </c>
      <c r="H32" s="29">
        <v>1054446</v>
      </c>
      <c r="I32" s="29" t="s">
        <v>124</v>
      </c>
      <c r="J32" s="24">
        <v>45000</v>
      </c>
      <c r="K32" s="30">
        <v>4.5</v>
      </c>
      <c r="L32" s="24">
        <v>45000</v>
      </c>
      <c r="M32" s="24">
        <v>202500</v>
      </c>
      <c r="N32" s="24" t="s">
        <v>59</v>
      </c>
      <c r="O32" s="26">
        <v>46245</v>
      </c>
      <c r="P32" s="26">
        <v>46255</v>
      </c>
      <c r="Q32" s="26"/>
      <c r="R32" s="26"/>
      <c r="S32" s="26"/>
      <c r="T32" s="32">
        <f ca="1">TODAY()-U32</f>
        <v>5</v>
      </c>
      <c r="U32" s="26">
        <v>46256</v>
      </c>
      <c r="V32" s="3"/>
      <c r="XEZ32" s="37"/>
      <c r="XFA32" s="38"/>
      <c r="XFB32" s="39"/>
      <c r="XFC32" s="39"/>
      <c r="XFD32" s="40"/>
    </row>
    <row r="33" s="1" customFormat="1" ht="14.1" customHeight="1" spans="1:25 16380:16384">
      <c r="A33" s="25" t="s">
        <v>125</v>
      </c>
      <c r="B33" s="25">
        <v>46239.7333333333</v>
      </c>
      <c r="C33" s="26" t="s">
        <v>126</v>
      </c>
      <c r="D33" s="26"/>
      <c r="E33" s="27"/>
      <c r="F33" s="41" t="s">
        <v>85</v>
      </c>
      <c r="G33" s="24" t="s">
        <v>29</v>
      </c>
      <c r="H33" s="29">
        <v>1050830</v>
      </c>
      <c r="I33" s="29" t="s">
        <v>127</v>
      </c>
      <c r="J33" s="24">
        <v>65000</v>
      </c>
      <c r="K33" s="30">
        <v>2.04</v>
      </c>
      <c r="L33" s="24">
        <v>65000</v>
      </c>
      <c r="M33" s="24">
        <v>132600</v>
      </c>
      <c r="N33" s="24" t="s">
        <v>31</v>
      </c>
      <c r="O33" s="26">
        <v>46240</v>
      </c>
      <c r="P33" s="26">
        <v>46245</v>
      </c>
      <c r="Q33" s="26">
        <v>46259</v>
      </c>
      <c r="R33" s="26">
        <v>46260</v>
      </c>
      <c r="S33" s="31">
        <v>46263</v>
      </c>
      <c r="T33" s="32">
        <f ca="1" t="shared" si="10"/>
        <v>21.2666666666992</v>
      </c>
      <c r="U33" s="26"/>
      <c r="V33" s="3"/>
      <c r="W33" s="34">
        <f t="shared" ref="W33:W39" si="11">+P33-O33</f>
        <v>5</v>
      </c>
      <c r="X33" s="1">
        <f t="shared" ref="X33:X38" si="12">+Q33-P33</f>
        <v>14</v>
      </c>
      <c r="XEZ33" s="37"/>
      <c r="XFA33" s="38"/>
      <c r="XFB33" s="39"/>
      <c r="XFC33" s="39"/>
      <c r="XFD33" s="40"/>
    </row>
    <row r="34" s="1" customFormat="1" ht="14.1" customHeight="1" spans="1:25 16380:16384">
      <c r="A34" s="25" t="s">
        <v>128</v>
      </c>
      <c r="B34" s="25">
        <v>46239.7375</v>
      </c>
      <c r="C34" s="26" t="s">
        <v>129</v>
      </c>
      <c r="D34" s="26"/>
      <c r="E34" s="27"/>
      <c r="F34" s="41" t="s">
        <v>85</v>
      </c>
      <c r="G34" s="24" t="s">
        <v>29</v>
      </c>
      <c r="H34" s="29">
        <v>1050842</v>
      </c>
      <c r="I34" s="29" t="s">
        <v>130</v>
      </c>
      <c r="J34" s="24">
        <v>125000</v>
      </c>
      <c r="K34" s="30">
        <v>1.68</v>
      </c>
      <c r="L34" s="24">
        <v>125000</v>
      </c>
      <c r="M34" s="24">
        <v>210000</v>
      </c>
      <c r="N34" s="24" t="s">
        <v>31</v>
      </c>
      <c r="O34" s="26">
        <v>46240</v>
      </c>
      <c r="P34" s="26">
        <v>46256</v>
      </c>
      <c r="Q34" s="26">
        <v>46258</v>
      </c>
      <c r="R34" s="26">
        <v>46260</v>
      </c>
      <c r="S34" s="31">
        <v>46263</v>
      </c>
      <c r="T34" s="32">
        <f ca="1" t="shared" si="10"/>
        <v>21.2624999999971</v>
      </c>
      <c r="U34" s="26"/>
      <c r="V34" s="3"/>
      <c r="W34" s="34">
        <f t="shared" si="11"/>
        <v>16</v>
      </c>
      <c r="X34" s="1">
        <f t="shared" si="12"/>
        <v>2</v>
      </c>
      <c r="XEZ34" s="37"/>
      <c r="XFA34" s="38"/>
      <c r="XFB34" s="39"/>
      <c r="XFC34" s="39"/>
      <c r="XFD34" s="40"/>
    </row>
    <row r="35" s="1" customFormat="1" ht="14.1" customHeight="1" spans="1:25 16380:16384">
      <c r="A35" s="25" t="s">
        <v>131</v>
      </c>
      <c r="B35" s="25">
        <v>46239.7395833333</v>
      </c>
      <c r="C35" s="26" t="s">
        <v>129</v>
      </c>
      <c r="D35" s="26"/>
      <c r="E35" s="27"/>
      <c r="F35" s="41" t="s">
        <v>85</v>
      </c>
      <c r="G35" s="24" t="s">
        <v>29</v>
      </c>
      <c r="H35" s="29">
        <v>1050843</v>
      </c>
      <c r="I35" s="29" t="s">
        <v>132</v>
      </c>
      <c r="J35" s="24">
        <v>235000</v>
      </c>
      <c r="K35" s="30">
        <v>1.68</v>
      </c>
      <c r="L35" s="24">
        <v>235000</v>
      </c>
      <c r="M35" s="24">
        <v>394800</v>
      </c>
      <c r="N35" s="24" t="s">
        <v>31</v>
      </c>
      <c r="O35" s="26">
        <v>46240</v>
      </c>
      <c r="P35" s="26">
        <v>46256</v>
      </c>
      <c r="Q35" s="26">
        <v>46258</v>
      </c>
      <c r="R35" s="26">
        <v>46259</v>
      </c>
      <c r="S35" s="31">
        <v>46263</v>
      </c>
      <c r="T35" s="32">
        <f ca="1" t="shared" si="10"/>
        <v>21.2604166667006</v>
      </c>
      <c r="U35" s="26"/>
      <c r="V35" s="3"/>
      <c r="W35" s="34">
        <f t="shared" si="11"/>
        <v>16</v>
      </c>
      <c r="X35" s="1">
        <f t="shared" si="12"/>
        <v>2</v>
      </c>
      <c r="Y35" s="1">
        <f t="shared" ref="Y35:Y38" si="13">+R35-Q35</f>
        <v>1</v>
      </c>
      <c r="XEZ35" s="37"/>
      <c r="XFA35" s="38"/>
      <c r="XFB35" s="39"/>
      <c r="XFC35" s="39"/>
      <c r="XFD35" s="40"/>
    </row>
    <row r="36" s="1" customFormat="1" ht="14.1" customHeight="1" spans="1:25 16380:16384">
      <c r="A36" s="25" t="s">
        <v>133</v>
      </c>
      <c r="B36" s="25">
        <v>46239.75625</v>
      </c>
      <c r="C36" s="26" t="s">
        <v>134</v>
      </c>
      <c r="D36" s="26"/>
      <c r="E36" s="27"/>
      <c r="F36" s="28" t="s">
        <v>85</v>
      </c>
      <c r="G36" s="24" t="s">
        <v>29</v>
      </c>
      <c r="H36" s="29">
        <v>1050167</v>
      </c>
      <c r="I36" s="29" t="s">
        <v>135</v>
      </c>
      <c r="J36" s="24">
        <v>200000</v>
      </c>
      <c r="K36" s="30">
        <v>1.57</v>
      </c>
      <c r="L36" s="24">
        <v>200000</v>
      </c>
      <c r="M36" s="24">
        <v>314000</v>
      </c>
      <c r="N36" s="24" t="s">
        <v>31</v>
      </c>
      <c r="O36" s="26">
        <v>46240</v>
      </c>
      <c r="P36" s="26">
        <v>46245</v>
      </c>
      <c r="Q36" s="26">
        <v>46247</v>
      </c>
      <c r="R36" s="26">
        <v>46252</v>
      </c>
      <c r="S36" s="31">
        <v>46258</v>
      </c>
      <c r="T36" s="32">
        <f ca="1" t="shared" si="10"/>
        <v>21.2437500000015</v>
      </c>
      <c r="U36" s="26"/>
      <c r="V36" s="3"/>
      <c r="W36" s="34">
        <f t="shared" si="11"/>
        <v>5</v>
      </c>
      <c r="X36" s="1">
        <f t="shared" si="12"/>
        <v>2</v>
      </c>
      <c r="Y36" s="1">
        <f t="shared" si="13"/>
        <v>5</v>
      </c>
      <c r="XEZ36" s="37"/>
      <c r="XFA36" s="38"/>
      <c r="XFB36" s="39"/>
      <c r="XFC36" s="39"/>
      <c r="XFD36" s="40"/>
    </row>
    <row r="37" s="1" customFormat="1" ht="14.1" customHeight="1" spans="1:25 16380:16384">
      <c r="A37" s="25" t="s">
        <v>136</v>
      </c>
      <c r="B37" s="25">
        <v>46239.7652777778</v>
      </c>
      <c r="C37" s="26" t="s">
        <v>137</v>
      </c>
      <c r="D37" s="26"/>
      <c r="E37" s="27"/>
      <c r="F37" s="28" t="s">
        <v>28</v>
      </c>
      <c r="G37" s="24" t="s">
        <v>29</v>
      </c>
      <c r="H37" s="29">
        <v>2094117</v>
      </c>
      <c r="I37" s="29" t="s">
        <v>138</v>
      </c>
      <c r="J37" s="24">
        <v>155000</v>
      </c>
      <c r="K37" s="30">
        <v>1.84</v>
      </c>
      <c r="L37" s="24">
        <v>155000</v>
      </c>
      <c r="M37" s="24">
        <v>285200</v>
      </c>
      <c r="N37" s="24" t="s">
        <v>31</v>
      </c>
      <c r="O37" s="26">
        <v>46240</v>
      </c>
      <c r="P37" s="26">
        <v>46251</v>
      </c>
      <c r="Q37" s="26">
        <v>46252</v>
      </c>
      <c r="R37" s="26">
        <v>46256</v>
      </c>
      <c r="S37" s="31">
        <v>46260</v>
      </c>
      <c r="T37" s="32">
        <f ca="1" t="shared" si="10"/>
        <v>21.2347222222015</v>
      </c>
      <c r="U37" s="26"/>
      <c r="V37" s="3"/>
      <c r="W37" s="34">
        <f t="shared" si="11"/>
        <v>11</v>
      </c>
      <c r="X37" s="1">
        <f t="shared" si="12"/>
        <v>1</v>
      </c>
      <c r="Y37" s="1">
        <f t="shared" si="13"/>
        <v>4</v>
      </c>
      <c r="XEZ37" s="37"/>
      <c r="XFA37" s="38"/>
      <c r="XFB37" s="39"/>
      <c r="XFC37" s="39"/>
      <c r="XFD37" s="40"/>
    </row>
    <row r="38" s="1" customFormat="1" ht="14.1" customHeight="1" spans="1:25 16380:16384">
      <c r="A38" s="25" t="s">
        <v>139</v>
      </c>
      <c r="B38" s="25">
        <v>46240</v>
      </c>
      <c r="C38" s="26" t="s">
        <v>140</v>
      </c>
      <c r="D38" s="26">
        <v>46240</v>
      </c>
      <c r="E38" s="27" t="s">
        <v>121</v>
      </c>
      <c r="F38" s="28" t="s">
        <v>141</v>
      </c>
      <c r="G38" s="24" t="s">
        <v>29</v>
      </c>
      <c r="H38" s="29">
        <v>113010499</v>
      </c>
      <c r="I38" s="29" t="s">
        <v>142</v>
      </c>
      <c r="J38" s="24">
        <v>1500</v>
      </c>
      <c r="K38" s="30">
        <v>14.1</v>
      </c>
      <c r="L38" s="24">
        <v>21150</v>
      </c>
      <c r="M38" s="24">
        <v>21150</v>
      </c>
      <c r="N38" s="24" t="s">
        <v>31</v>
      </c>
      <c r="O38" s="26">
        <v>46241</v>
      </c>
      <c r="P38" s="26">
        <v>46244</v>
      </c>
      <c r="Q38" s="26">
        <v>46251</v>
      </c>
      <c r="R38" s="26">
        <v>46252</v>
      </c>
      <c r="S38" s="26"/>
      <c r="T38" s="32">
        <f ca="1" t="shared" si="10"/>
        <v>21</v>
      </c>
      <c r="U38" s="26"/>
      <c r="V38" s="3"/>
      <c r="W38" s="34">
        <f t="shared" si="11"/>
        <v>3</v>
      </c>
      <c r="X38" s="1">
        <f t="shared" si="12"/>
        <v>7</v>
      </c>
      <c r="Y38" s="1">
        <f t="shared" si="13"/>
        <v>1</v>
      </c>
      <c r="XEZ38" s="37"/>
      <c r="XFA38" s="38"/>
      <c r="XFB38" s="39"/>
      <c r="XFC38" s="39"/>
      <c r="XFD38" s="40"/>
    </row>
    <row r="39" s="1" customFormat="1" ht="14.1" customHeight="1" spans="1:25 16380:16384">
      <c r="A39" s="25" t="s">
        <v>143</v>
      </c>
      <c r="B39" s="25">
        <v>46240</v>
      </c>
      <c r="C39" s="26">
        <v>9500224642</v>
      </c>
      <c r="D39" s="26">
        <v>46238</v>
      </c>
      <c r="E39" s="27" t="s">
        <v>27</v>
      </c>
      <c r="F39" s="28" t="s">
        <v>28</v>
      </c>
      <c r="G39" s="24" t="s">
        <v>42</v>
      </c>
      <c r="H39" s="29">
        <v>2111674</v>
      </c>
      <c r="I39" s="29" t="s">
        <v>144</v>
      </c>
      <c r="J39" s="24">
        <v>6000</v>
      </c>
      <c r="K39" s="30">
        <v>11</v>
      </c>
      <c r="L39" s="24">
        <v>66000</v>
      </c>
      <c r="M39" s="24">
        <v>66000</v>
      </c>
      <c r="N39" s="24" t="s">
        <v>59</v>
      </c>
      <c r="O39" s="26">
        <v>46253</v>
      </c>
      <c r="P39" s="26">
        <v>46253</v>
      </c>
      <c r="Q39" s="26"/>
      <c r="R39" s="26"/>
      <c r="S39" s="26"/>
      <c r="T39" s="32">
        <f ca="1" t="shared" ref="T39:T43" si="14">TODAY()-U39</f>
        <v>14</v>
      </c>
      <c r="U39" s="26">
        <v>46247</v>
      </c>
      <c r="V39" s="3"/>
      <c r="W39" s="34">
        <f t="shared" si="11"/>
        <v>0</v>
      </c>
      <c r="XEZ39" s="37"/>
      <c r="XFA39" s="38"/>
      <c r="XFB39" s="39"/>
      <c r="XFC39" s="39"/>
      <c r="XFD39" s="40"/>
    </row>
    <row r="40" s="1" customFormat="1" ht="14.1" customHeight="1" spans="1:25 16380:16384">
      <c r="A40" s="25" t="s">
        <v>145</v>
      </c>
      <c r="B40" s="25">
        <v>46240</v>
      </c>
      <c r="C40" s="26">
        <v>9500224642</v>
      </c>
      <c r="D40" s="26">
        <v>46238</v>
      </c>
      <c r="E40" s="27" t="s">
        <v>27</v>
      </c>
      <c r="F40" s="28" t="s">
        <v>28</v>
      </c>
      <c r="G40" s="24" t="s">
        <v>42</v>
      </c>
      <c r="H40" s="29">
        <v>2111350</v>
      </c>
      <c r="I40" s="29" t="s">
        <v>146</v>
      </c>
      <c r="J40" s="24">
        <v>2000</v>
      </c>
      <c r="K40" s="30">
        <v>11</v>
      </c>
      <c r="L40" s="24">
        <v>22000</v>
      </c>
      <c r="M40" s="24">
        <v>22000</v>
      </c>
      <c r="N40" s="26" t="s">
        <v>18</v>
      </c>
      <c r="O40" s="26">
        <v>46253</v>
      </c>
      <c r="P40" s="26">
        <v>46253</v>
      </c>
      <c r="Q40" s="26"/>
      <c r="R40" s="26"/>
      <c r="S40" s="26"/>
      <c r="T40" s="32">
        <f ca="1" t="shared" si="14"/>
        <v>2</v>
      </c>
      <c r="U40" s="44">
        <v>46259</v>
      </c>
      <c r="V40" s="3"/>
      <c r="XEZ40" s="37"/>
      <c r="XFA40" s="38"/>
      <c r="XFB40" s="39"/>
      <c r="XFC40" s="39"/>
      <c r="XFD40" s="40"/>
    </row>
    <row r="41" s="1" customFormat="1" ht="14.1" customHeight="1" spans="1:25 16380:16384">
      <c r="A41" s="25" t="s">
        <v>147</v>
      </c>
      <c r="B41" s="25">
        <v>46240</v>
      </c>
      <c r="C41" s="26">
        <v>111043456</v>
      </c>
      <c r="D41" s="26" t="s">
        <v>148</v>
      </c>
      <c r="E41" s="27" t="s">
        <v>121</v>
      </c>
      <c r="F41" s="28" t="s">
        <v>141</v>
      </c>
      <c r="G41" s="24" t="s">
        <v>42</v>
      </c>
      <c r="H41" s="29">
        <v>113008130</v>
      </c>
      <c r="I41" s="29" t="s">
        <v>149</v>
      </c>
      <c r="J41" s="24">
        <v>5000</v>
      </c>
      <c r="K41" s="30">
        <v>14.3</v>
      </c>
      <c r="L41" s="24">
        <v>71500</v>
      </c>
      <c r="M41" s="24">
        <v>71500</v>
      </c>
      <c r="N41" s="24" t="s">
        <v>18</v>
      </c>
      <c r="O41" s="26">
        <v>46254</v>
      </c>
      <c r="P41" s="26">
        <v>46255</v>
      </c>
      <c r="Q41" s="26"/>
      <c r="R41" s="26"/>
      <c r="S41" s="26"/>
      <c r="T41" s="32">
        <f ca="1" t="shared" si="14"/>
        <v>14</v>
      </c>
      <c r="U41" s="26">
        <v>46247</v>
      </c>
      <c r="V41" s="3"/>
      <c r="W41" s="34">
        <f t="shared" ref="W41:W47" si="15">+P41-O41</f>
        <v>1</v>
      </c>
      <c r="XEZ41" s="37"/>
      <c r="XFA41" s="38"/>
      <c r="XFB41" s="39"/>
      <c r="XFC41" s="39"/>
      <c r="XFD41" s="40"/>
    </row>
    <row r="42" s="1" customFormat="1" ht="14.1" customHeight="1" spans="1:25 16380:16384">
      <c r="A42" s="25" t="s">
        <v>150</v>
      </c>
      <c r="B42" s="25">
        <v>46240</v>
      </c>
      <c r="C42" s="26">
        <v>111043456</v>
      </c>
      <c r="D42" s="26" t="s">
        <v>148</v>
      </c>
      <c r="E42" s="27" t="s">
        <v>121</v>
      </c>
      <c r="F42" s="28" t="s">
        <v>141</v>
      </c>
      <c r="G42" s="24" t="s">
        <v>42</v>
      </c>
      <c r="H42" s="29">
        <v>113011420</v>
      </c>
      <c r="I42" s="29" t="s">
        <v>151</v>
      </c>
      <c r="J42" s="24">
        <v>2500</v>
      </c>
      <c r="K42" s="30">
        <v>14</v>
      </c>
      <c r="L42" s="24">
        <v>35000</v>
      </c>
      <c r="M42" s="24">
        <v>35000</v>
      </c>
      <c r="N42" s="24" t="s">
        <v>59</v>
      </c>
      <c r="O42" s="26">
        <v>46253</v>
      </c>
      <c r="P42" s="26">
        <v>46253</v>
      </c>
      <c r="Q42" s="26"/>
      <c r="R42" s="26"/>
      <c r="S42" s="26"/>
      <c r="T42" s="32">
        <f ca="1" t="shared" si="14"/>
        <v>15</v>
      </c>
      <c r="U42" s="26">
        <v>46246</v>
      </c>
      <c r="V42" s="3"/>
      <c r="W42" s="34">
        <f t="shared" si="15"/>
        <v>0</v>
      </c>
      <c r="XEZ42" s="37"/>
      <c r="XFA42" s="38"/>
      <c r="XFB42" s="39"/>
      <c r="XFC42" s="39"/>
      <c r="XFD42" s="40"/>
    </row>
    <row r="43" s="1" customFormat="1" ht="14.1" customHeight="1" spans="1:25 16380:16384">
      <c r="A43" s="25" t="s">
        <v>152</v>
      </c>
      <c r="B43" s="25">
        <v>46240</v>
      </c>
      <c r="C43" s="26">
        <v>111043456</v>
      </c>
      <c r="D43" s="26" t="s">
        <v>148</v>
      </c>
      <c r="E43" s="27" t="s">
        <v>121</v>
      </c>
      <c r="F43" s="28" t="s">
        <v>141</v>
      </c>
      <c r="G43" s="24" t="s">
        <v>42</v>
      </c>
      <c r="H43" s="29">
        <v>113012557</v>
      </c>
      <c r="I43" s="29" t="s">
        <v>153</v>
      </c>
      <c r="J43" s="24">
        <v>23500</v>
      </c>
      <c r="K43" s="30">
        <v>2.6</v>
      </c>
      <c r="L43" s="24">
        <v>61100</v>
      </c>
      <c r="M43" s="24">
        <v>61100</v>
      </c>
      <c r="N43" s="24" t="s">
        <v>59</v>
      </c>
      <c r="O43" s="26">
        <v>46253</v>
      </c>
      <c r="P43" s="26">
        <v>46253</v>
      </c>
      <c r="Q43" s="26"/>
      <c r="R43" s="26"/>
      <c r="S43" s="26"/>
      <c r="T43" s="32">
        <f ca="1" t="shared" si="14"/>
        <v>15</v>
      </c>
      <c r="U43" s="26">
        <v>46246</v>
      </c>
      <c r="V43" s="3"/>
      <c r="W43" s="34">
        <f t="shared" si="15"/>
        <v>0</v>
      </c>
      <c r="XEZ43" s="37"/>
      <c r="XFA43" s="38"/>
      <c r="XFB43" s="39"/>
      <c r="XFC43" s="39"/>
      <c r="XFD43" s="40"/>
    </row>
    <row r="44" s="1" customFormat="1" ht="14.1" customHeight="1" spans="1:25 16380:16384">
      <c r="A44" s="25" t="s">
        <v>154</v>
      </c>
      <c r="B44" s="25">
        <v>46240</v>
      </c>
      <c r="C44" s="26">
        <v>111043456</v>
      </c>
      <c r="D44" s="26" t="s">
        <v>148</v>
      </c>
      <c r="E44" s="27" t="s">
        <v>121</v>
      </c>
      <c r="F44" s="28" t="s">
        <v>141</v>
      </c>
      <c r="G44" s="24" t="s">
        <v>42</v>
      </c>
      <c r="H44" s="29">
        <v>113008129</v>
      </c>
      <c r="I44" s="29" t="s">
        <v>155</v>
      </c>
      <c r="J44" s="24">
        <v>125200</v>
      </c>
      <c r="K44" s="30">
        <v>0.93</v>
      </c>
      <c r="L44" s="24">
        <v>116436</v>
      </c>
      <c r="M44" s="24">
        <v>116436</v>
      </c>
      <c r="N44" s="24" t="s">
        <v>70</v>
      </c>
      <c r="O44" s="26"/>
      <c r="P44" s="26"/>
      <c r="Q44" s="26"/>
      <c r="R44" s="26"/>
      <c r="S44" s="26"/>
      <c r="T44" s="32">
        <f ca="1">TODAY()-B44</f>
        <v>21</v>
      </c>
      <c r="U44" s="26"/>
      <c r="V44" s="3"/>
      <c r="W44" s="34">
        <f t="shared" si="15"/>
        <v>0</v>
      </c>
      <c r="XEZ44" s="37"/>
      <c r="XFA44" s="38"/>
      <c r="XFB44" s="39"/>
      <c r="XFC44" s="39"/>
      <c r="XFD44" s="40"/>
    </row>
    <row r="45" s="1" customFormat="1" ht="14.1" customHeight="1" spans="1:25 16380:16384">
      <c r="A45" s="25" t="s">
        <v>156</v>
      </c>
      <c r="B45" s="25">
        <v>46240</v>
      </c>
      <c r="C45" s="26">
        <v>111043456</v>
      </c>
      <c r="D45" s="26" t="s">
        <v>148</v>
      </c>
      <c r="E45" s="27" t="s">
        <v>121</v>
      </c>
      <c r="F45" s="28" t="s">
        <v>141</v>
      </c>
      <c r="G45" s="24" t="s">
        <v>42</v>
      </c>
      <c r="H45" s="29">
        <v>113014824</v>
      </c>
      <c r="I45" s="29" t="s">
        <v>157</v>
      </c>
      <c r="J45" s="24">
        <v>500000</v>
      </c>
      <c r="K45" s="30">
        <v>0.82</v>
      </c>
      <c r="L45" s="24">
        <v>410000</v>
      </c>
      <c r="M45" s="24">
        <v>410000</v>
      </c>
      <c r="N45" s="24" t="s">
        <v>70</v>
      </c>
      <c r="O45" s="26"/>
      <c r="P45" s="26"/>
      <c r="Q45" s="26"/>
      <c r="R45" s="26"/>
      <c r="S45" s="26"/>
      <c r="T45" s="32">
        <f ca="1" t="shared" ref="T45:T52" si="16">TODAY()-U45</f>
        <v>15</v>
      </c>
      <c r="U45" s="26">
        <v>46246</v>
      </c>
      <c r="V45" s="3"/>
      <c r="W45" s="34">
        <f t="shared" si="15"/>
        <v>0</v>
      </c>
      <c r="XEZ45" s="37"/>
      <c r="XFA45" s="38"/>
      <c r="XFB45" s="39"/>
      <c r="XFC45" s="39"/>
      <c r="XFD45" s="40"/>
    </row>
    <row r="46" s="1" customFormat="1" ht="14.1" customHeight="1" spans="1:25 16380:16384">
      <c r="A46" s="25" t="s">
        <v>158</v>
      </c>
      <c r="B46" s="25">
        <v>46240</v>
      </c>
      <c r="C46" s="26">
        <v>111043446</v>
      </c>
      <c r="D46" s="26">
        <v>46237</v>
      </c>
      <c r="E46" s="27" t="s">
        <v>121</v>
      </c>
      <c r="F46" s="28" t="s">
        <v>141</v>
      </c>
      <c r="G46" s="24" t="s">
        <v>42</v>
      </c>
      <c r="H46" s="29">
        <v>113006819</v>
      </c>
      <c r="I46" s="29" t="s">
        <v>159</v>
      </c>
      <c r="J46" s="24">
        <v>10000</v>
      </c>
      <c r="K46" s="30">
        <v>8.26</v>
      </c>
      <c r="L46" s="24">
        <v>82600</v>
      </c>
      <c r="M46" s="24">
        <v>82600</v>
      </c>
      <c r="N46" s="24" t="s">
        <v>59</v>
      </c>
      <c r="O46" s="26">
        <v>46253</v>
      </c>
      <c r="P46" s="26">
        <v>46253</v>
      </c>
      <c r="Q46" s="26"/>
      <c r="R46" s="26"/>
      <c r="S46" s="31">
        <v>46261</v>
      </c>
      <c r="T46" s="32">
        <f ca="1" t="shared" si="16"/>
        <v>15</v>
      </c>
      <c r="U46" s="26">
        <v>46246</v>
      </c>
      <c r="V46" s="3"/>
      <c r="W46" s="34">
        <f t="shared" si="15"/>
        <v>0</v>
      </c>
      <c r="XEZ46" s="37"/>
      <c r="XFA46" s="38"/>
      <c r="XFB46" s="39"/>
      <c r="XFC46" s="39"/>
      <c r="XFD46" s="40"/>
    </row>
    <row r="47" s="1" customFormat="1" ht="14.1" customHeight="1" spans="1:25 16380:16384">
      <c r="A47" s="25" t="s">
        <v>160</v>
      </c>
      <c r="B47" s="25">
        <v>46240</v>
      </c>
      <c r="C47" s="26">
        <v>111043446</v>
      </c>
      <c r="D47" s="26">
        <v>46237</v>
      </c>
      <c r="E47" s="27" t="s">
        <v>121</v>
      </c>
      <c r="F47" s="28" t="s">
        <v>141</v>
      </c>
      <c r="G47" s="24" t="s">
        <v>29</v>
      </c>
      <c r="H47" s="29">
        <v>113014691</v>
      </c>
      <c r="I47" s="29" t="s">
        <v>161</v>
      </c>
      <c r="J47" s="24">
        <v>199000</v>
      </c>
      <c r="K47" s="30">
        <v>1.36</v>
      </c>
      <c r="L47" s="24">
        <v>270640</v>
      </c>
      <c r="M47" s="24">
        <v>270640</v>
      </c>
      <c r="N47" s="24" t="s">
        <v>31</v>
      </c>
      <c r="O47" s="26">
        <v>46241</v>
      </c>
      <c r="P47" s="26">
        <v>46248</v>
      </c>
      <c r="Q47" s="26">
        <v>46253</v>
      </c>
      <c r="R47" s="26">
        <v>46254</v>
      </c>
      <c r="S47" s="26"/>
      <c r="T47" s="32">
        <f ca="1">TODAY()-B47</f>
        <v>21</v>
      </c>
      <c r="U47" s="26"/>
      <c r="V47" s="3"/>
      <c r="W47" s="34">
        <f t="shared" si="15"/>
        <v>7</v>
      </c>
      <c r="X47" s="1">
        <f>+Q47-P47</f>
        <v>5</v>
      </c>
      <c r="Y47" s="1">
        <f>+R47-Q47</f>
        <v>1</v>
      </c>
      <c r="XEZ47" s="37"/>
      <c r="XFA47" s="38"/>
      <c r="XFB47" s="39"/>
      <c r="XFC47" s="39"/>
      <c r="XFD47" s="40"/>
    </row>
    <row r="48" s="1" customFormat="1" ht="14.1" customHeight="1" spans="1:25 16380:16384">
      <c r="A48" s="25" t="s">
        <v>162</v>
      </c>
      <c r="B48" s="25">
        <v>46240</v>
      </c>
      <c r="C48" s="26">
        <v>111043446</v>
      </c>
      <c r="D48" s="26">
        <v>46237</v>
      </c>
      <c r="E48" s="27" t="s">
        <v>121</v>
      </c>
      <c r="F48" s="28" t="s">
        <v>141</v>
      </c>
      <c r="G48" s="24" t="s">
        <v>42</v>
      </c>
      <c r="H48" s="29">
        <v>113006818</v>
      </c>
      <c r="I48" s="29" t="s">
        <v>163</v>
      </c>
      <c r="J48" s="24">
        <v>247000</v>
      </c>
      <c r="K48" s="30">
        <v>1.22</v>
      </c>
      <c r="L48" s="24">
        <v>301340</v>
      </c>
      <c r="M48" s="24">
        <v>301340</v>
      </c>
      <c r="N48" s="24" t="s">
        <v>18</v>
      </c>
      <c r="O48" s="26">
        <v>46253</v>
      </c>
      <c r="P48" s="26"/>
      <c r="Q48" s="26"/>
      <c r="R48" s="26"/>
      <c r="S48" s="26"/>
      <c r="T48" s="32">
        <f ca="1" t="shared" si="16"/>
        <v>15</v>
      </c>
      <c r="U48" s="26">
        <v>46246</v>
      </c>
      <c r="V48" s="3"/>
      <c r="W48" s="34"/>
      <c r="XEZ48" s="37"/>
      <c r="XFA48" s="38"/>
      <c r="XFB48" s="39"/>
      <c r="XFC48" s="39"/>
      <c r="XFD48" s="40"/>
    </row>
    <row r="49" s="1" customFormat="1" ht="14.1" customHeight="1" spans="1:25 16376:16384">
      <c r="A49" s="25" t="s">
        <v>164</v>
      </c>
      <c r="B49" s="25">
        <v>46240</v>
      </c>
      <c r="C49" s="26">
        <v>4900554394</v>
      </c>
      <c r="D49" s="26">
        <v>46237</v>
      </c>
      <c r="E49" s="27" t="s">
        <v>47</v>
      </c>
      <c r="F49" s="41" t="s">
        <v>165</v>
      </c>
      <c r="G49" s="24" t="s">
        <v>42</v>
      </c>
      <c r="H49" s="29">
        <v>680001330</v>
      </c>
      <c r="I49" s="29" t="s">
        <v>166</v>
      </c>
      <c r="J49" s="24">
        <v>200</v>
      </c>
      <c r="K49" s="30">
        <v>37.5</v>
      </c>
      <c r="L49" s="24">
        <v>7500</v>
      </c>
      <c r="M49" s="24">
        <v>7500</v>
      </c>
      <c r="N49" s="24" t="s">
        <v>107</v>
      </c>
      <c r="O49" s="26">
        <v>46255</v>
      </c>
      <c r="P49" s="26">
        <v>46258</v>
      </c>
      <c r="Q49" s="26"/>
      <c r="R49" s="26"/>
      <c r="S49" s="26"/>
      <c r="T49" s="32">
        <f ca="1" t="shared" si="16"/>
        <v>13</v>
      </c>
      <c r="U49" s="26">
        <v>46248</v>
      </c>
      <c r="V49" s="3"/>
      <c r="W49" s="34">
        <f t="shared" ref="W49:W56" si="17">+P49-O49</f>
        <v>3</v>
      </c>
      <c r="XEZ49" s="37"/>
      <c r="XFA49" s="38"/>
      <c r="XFB49" s="39"/>
      <c r="XFC49" s="39"/>
      <c r="XFD49" s="40"/>
    </row>
    <row r="50" s="1" customFormat="1" ht="14.1" customHeight="1" spans="1:25 16376:16384">
      <c r="A50" s="25" t="s">
        <v>167</v>
      </c>
      <c r="B50" s="25">
        <v>46240</v>
      </c>
      <c r="C50" s="26">
        <v>4900554394</v>
      </c>
      <c r="D50" s="26">
        <v>46237</v>
      </c>
      <c r="E50" s="27" t="s">
        <v>47</v>
      </c>
      <c r="F50" s="41" t="s">
        <v>165</v>
      </c>
      <c r="G50" s="24" t="s">
        <v>42</v>
      </c>
      <c r="H50" s="29">
        <v>680001331</v>
      </c>
      <c r="I50" s="29" t="s">
        <v>168</v>
      </c>
      <c r="J50" s="24">
        <v>200</v>
      </c>
      <c r="K50" s="30">
        <v>35</v>
      </c>
      <c r="L50" s="24">
        <v>7000</v>
      </c>
      <c r="M50" s="24">
        <v>7000</v>
      </c>
      <c r="N50" s="24" t="s">
        <v>107</v>
      </c>
      <c r="O50" s="26">
        <v>46255</v>
      </c>
      <c r="P50" s="26">
        <v>46258</v>
      </c>
      <c r="Q50" s="26"/>
      <c r="R50" s="26"/>
      <c r="S50" s="26"/>
      <c r="T50" s="32">
        <f ca="1" t="shared" si="16"/>
        <v>13</v>
      </c>
      <c r="U50" s="26">
        <v>46248</v>
      </c>
      <c r="V50" s="3"/>
      <c r="W50" s="34">
        <f t="shared" si="17"/>
        <v>3</v>
      </c>
      <c r="XEZ50" s="37"/>
      <c r="XFA50" s="38"/>
      <c r="XFB50" s="39"/>
      <c r="XFC50" s="39"/>
      <c r="XFD50" s="40"/>
    </row>
    <row r="51" s="1" customFormat="1" ht="14.1" customHeight="1" spans="1:25 16376:16384">
      <c r="A51" s="25" t="s">
        <v>169</v>
      </c>
      <c r="B51" s="25">
        <v>46240</v>
      </c>
      <c r="C51" s="26">
        <v>4900554394</v>
      </c>
      <c r="D51" s="26">
        <v>46237</v>
      </c>
      <c r="E51" s="27" t="s">
        <v>47</v>
      </c>
      <c r="F51" s="41" t="s">
        <v>165</v>
      </c>
      <c r="G51" s="24" t="s">
        <v>42</v>
      </c>
      <c r="H51" s="29">
        <v>680001332</v>
      </c>
      <c r="I51" s="29" t="s">
        <v>170</v>
      </c>
      <c r="J51" s="24">
        <v>20</v>
      </c>
      <c r="K51" s="30">
        <v>975</v>
      </c>
      <c r="L51" s="24">
        <v>19500</v>
      </c>
      <c r="M51" s="24">
        <v>19500</v>
      </c>
      <c r="N51" s="24" t="s">
        <v>107</v>
      </c>
      <c r="O51" s="26">
        <v>46255</v>
      </c>
      <c r="P51" s="26">
        <v>46258</v>
      </c>
      <c r="Q51" s="26"/>
      <c r="R51" s="26"/>
      <c r="S51" s="26"/>
      <c r="T51" s="32">
        <f ca="1" t="shared" si="16"/>
        <v>13</v>
      </c>
      <c r="U51" s="26">
        <v>46248</v>
      </c>
      <c r="V51" s="3"/>
      <c r="W51" s="34">
        <f t="shared" si="17"/>
        <v>3</v>
      </c>
      <c r="XEZ51" s="37"/>
      <c r="XFA51" s="38"/>
      <c r="XFB51" s="39"/>
      <c r="XFC51" s="39"/>
      <c r="XFD51" s="40"/>
    </row>
    <row r="52" s="1" customFormat="1" ht="14.1" customHeight="1" spans="1:25 16376:16384">
      <c r="A52" s="25" t="s">
        <v>171</v>
      </c>
      <c r="B52" s="25">
        <v>46240</v>
      </c>
      <c r="C52" s="26">
        <v>4900554394</v>
      </c>
      <c r="D52" s="26">
        <v>46237</v>
      </c>
      <c r="E52" s="27" t="s">
        <v>47</v>
      </c>
      <c r="F52" s="41" t="s">
        <v>165</v>
      </c>
      <c r="G52" s="24" t="s">
        <v>42</v>
      </c>
      <c r="H52" s="29">
        <v>680001333</v>
      </c>
      <c r="I52" s="29" t="s">
        <v>172</v>
      </c>
      <c r="J52" s="24">
        <v>20</v>
      </c>
      <c r="K52" s="30">
        <v>1000</v>
      </c>
      <c r="L52" s="24">
        <v>20000</v>
      </c>
      <c r="M52" s="24">
        <v>20000</v>
      </c>
      <c r="N52" s="24" t="s">
        <v>107</v>
      </c>
      <c r="O52" s="26">
        <v>46255</v>
      </c>
      <c r="P52" s="26">
        <v>46258</v>
      </c>
      <c r="Q52" s="26"/>
      <c r="R52" s="26"/>
      <c r="S52" s="26"/>
      <c r="T52" s="32">
        <f ca="1" t="shared" si="16"/>
        <v>13</v>
      </c>
      <c r="U52" s="26">
        <v>46248</v>
      </c>
      <c r="V52" s="3"/>
      <c r="W52" s="34">
        <f t="shared" si="17"/>
        <v>3</v>
      </c>
      <c r="XEZ52" s="37"/>
      <c r="XFA52" s="38"/>
      <c r="XFB52" s="39"/>
      <c r="XFC52" s="39"/>
      <c r="XFD52" s="40"/>
    </row>
    <row r="53" s="1" customFormat="1" ht="14.1" customHeight="1" spans="1:25 16376:16384">
      <c r="A53" s="25" t="s">
        <v>173</v>
      </c>
      <c r="B53" s="25">
        <v>46241</v>
      </c>
      <c r="C53" s="26">
        <v>9500223699</v>
      </c>
      <c r="D53" s="26">
        <v>46235</v>
      </c>
      <c r="E53" s="27" t="s">
        <v>174</v>
      </c>
      <c r="F53" s="28" t="s">
        <v>175</v>
      </c>
      <c r="G53" s="24" t="s">
        <v>42</v>
      </c>
      <c r="H53" s="29">
        <v>2113202</v>
      </c>
      <c r="I53" s="29" t="s">
        <v>176</v>
      </c>
      <c r="J53" s="24">
        <v>10000</v>
      </c>
      <c r="K53" s="24">
        <v>4</v>
      </c>
      <c r="L53" s="24">
        <v>10000</v>
      </c>
      <c r="M53" s="24">
        <v>40000</v>
      </c>
      <c r="N53" s="26" t="s">
        <v>31</v>
      </c>
      <c r="O53" s="26">
        <v>46245</v>
      </c>
      <c r="P53" s="26">
        <v>46247</v>
      </c>
      <c r="Q53" s="26">
        <v>46255</v>
      </c>
      <c r="R53" s="26">
        <v>46260</v>
      </c>
      <c r="S53" s="31">
        <v>46261</v>
      </c>
      <c r="T53" s="32">
        <f ca="1" t="shared" ref="T53:T62" si="18">TODAY()-B53</f>
        <v>20</v>
      </c>
      <c r="W53" s="34">
        <f t="shared" si="17"/>
        <v>2</v>
      </c>
      <c r="X53" s="1">
        <f t="shared" ref="X53:X56" si="19">+Q53-P53</f>
        <v>8</v>
      </c>
      <c r="XEV53" s="37"/>
      <c r="XEW53" s="38"/>
      <c r="XEX53" s="39"/>
      <c r="XEY53" s="39"/>
      <c r="XEZ53" s="40"/>
      <c r="XFA53" s="24"/>
      <c r="XFB53" s="25"/>
      <c r="XFC53" s="26"/>
      <c r="XFD53" s="26"/>
    </row>
    <row r="54" s="1" customFormat="1" ht="14.1" customHeight="1" spans="1:25 16376:16384">
      <c r="A54" s="25" t="s">
        <v>177</v>
      </c>
      <c r="B54" s="25">
        <v>46244</v>
      </c>
      <c r="C54" s="26">
        <v>4500067852</v>
      </c>
      <c r="D54" s="26">
        <v>46230</v>
      </c>
      <c r="E54" s="27" t="s">
        <v>178</v>
      </c>
      <c r="F54" s="28" t="s">
        <v>179</v>
      </c>
      <c r="G54" s="24" t="s">
        <v>29</v>
      </c>
      <c r="H54" s="29">
        <v>8501080</v>
      </c>
      <c r="I54" s="29" t="s">
        <v>180</v>
      </c>
      <c r="J54" s="24">
        <v>16000</v>
      </c>
      <c r="K54" s="24">
        <v>4.4</v>
      </c>
      <c r="L54" s="24">
        <v>16000</v>
      </c>
      <c r="M54" s="24">
        <v>70400</v>
      </c>
      <c r="N54" s="24" t="s">
        <v>107</v>
      </c>
      <c r="O54" s="26">
        <v>46244</v>
      </c>
      <c r="P54" s="26">
        <v>46247</v>
      </c>
      <c r="Q54" s="26">
        <v>46255</v>
      </c>
      <c r="R54" s="26"/>
      <c r="S54" s="26"/>
      <c r="T54" s="32">
        <f ca="1" t="shared" si="18"/>
        <v>17</v>
      </c>
      <c r="W54" s="34">
        <f t="shared" si="17"/>
        <v>3</v>
      </c>
      <c r="X54" s="1">
        <f t="shared" si="19"/>
        <v>8</v>
      </c>
      <c r="XEV54" s="37"/>
      <c r="XEW54" s="38"/>
      <c r="XEX54" s="39"/>
      <c r="XEY54" s="39"/>
      <c r="XEZ54" s="40"/>
      <c r="XFA54" s="24"/>
      <c r="XFB54" s="25"/>
      <c r="XFC54" s="26"/>
      <c r="XFD54" s="26"/>
    </row>
    <row r="55" s="1" customFormat="1" ht="14.1" customHeight="1" spans="1:25 16376:16384">
      <c r="A55" s="24" t="s">
        <v>181</v>
      </c>
      <c r="B55" s="25">
        <v>46246</v>
      </c>
      <c r="C55" s="26">
        <v>4900555722</v>
      </c>
      <c r="D55" s="26">
        <v>46245</v>
      </c>
      <c r="E55" s="27" t="s">
        <v>47</v>
      </c>
      <c r="F55" s="28" t="s">
        <v>165</v>
      </c>
      <c r="G55" s="24" t="s">
        <v>29</v>
      </c>
      <c r="H55" s="29">
        <v>680001156</v>
      </c>
      <c r="I55" s="29" t="s">
        <v>182</v>
      </c>
      <c r="J55" s="24">
        <v>75000</v>
      </c>
      <c r="K55" s="24">
        <v>1.28</v>
      </c>
      <c r="L55" s="24">
        <v>75000</v>
      </c>
      <c r="M55" s="24">
        <v>96000</v>
      </c>
      <c r="N55" s="26" t="s">
        <v>107</v>
      </c>
      <c r="O55" s="26">
        <v>46247</v>
      </c>
      <c r="P55" s="26">
        <v>46255</v>
      </c>
      <c r="Q55" s="26">
        <v>46255</v>
      </c>
      <c r="R55" s="26"/>
      <c r="S55" s="31">
        <v>46263</v>
      </c>
      <c r="T55" s="32">
        <f ca="1" t="shared" si="18"/>
        <v>15</v>
      </c>
      <c r="W55" s="34">
        <f t="shared" si="17"/>
        <v>8</v>
      </c>
      <c r="X55" s="1">
        <f t="shared" si="19"/>
        <v>0</v>
      </c>
      <c r="XEV55" s="37"/>
      <c r="XEW55" s="38"/>
      <c r="XEX55" s="39"/>
      <c r="XEY55" s="39"/>
      <c r="XEZ55" s="40"/>
      <c r="XFA55" s="24"/>
      <c r="XFB55" s="25"/>
      <c r="XFC55" s="26"/>
      <c r="XFD55" s="26"/>
    </row>
    <row r="56" s="1" customFormat="1" ht="14.1" customHeight="1" spans="1:25 16376:16384">
      <c r="A56" s="24" t="s">
        <v>183</v>
      </c>
      <c r="B56" s="25">
        <v>46246</v>
      </c>
      <c r="C56" s="26">
        <v>111043627</v>
      </c>
      <c r="D56" s="26">
        <v>46244</v>
      </c>
      <c r="E56" s="27" t="s">
        <v>121</v>
      </c>
      <c r="F56" s="28" t="s">
        <v>141</v>
      </c>
      <c r="G56" s="24" t="s">
        <v>42</v>
      </c>
      <c r="H56" s="29">
        <v>113015098</v>
      </c>
      <c r="I56" s="29" t="s">
        <v>184</v>
      </c>
      <c r="J56" s="24">
        <v>100200</v>
      </c>
      <c r="K56" s="24">
        <v>0.99</v>
      </c>
      <c r="L56" s="24">
        <v>100200</v>
      </c>
      <c r="M56" s="24">
        <v>99198</v>
      </c>
      <c r="N56" s="26" t="s">
        <v>31</v>
      </c>
      <c r="O56" s="26">
        <v>46253</v>
      </c>
      <c r="P56" s="26">
        <v>46253</v>
      </c>
      <c r="Q56" s="26">
        <v>46256</v>
      </c>
      <c r="R56" s="26">
        <v>46258</v>
      </c>
      <c r="S56" s="31">
        <v>46261</v>
      </c>
      <c r="T56" s="32">
        <f ca="1" t="shared" si="18"/>
        <v>15</v>
      </c>
      <c r="W56" s="34">
        <f t="shared" si="17"/>
        <v>0</v>
      </c>
      <c r="X56" s="1">
        <f t="shared" si="19"/>
        <v>3</v>
      </c>
      <c r="Y56" s="1">
        <f>+R56-Q56</f>
        <v>2</v>
      </c>
      <c r="XEV56" s="37"/>
      <c r="XEW56" s="38"/>
      <c r="XEX56" s="39"/>
      <c r="XEY56" s="39"/>
      <c r="XEZ56" s="40"/>
      <c r="XFA56" s="24"/>
      <c r="XFB56" s="25"/>
      <c r="XFC56" s="26"/>
      <c r="XFD56" s="26"/>
    </row>
    <row r="57" s="1" customFormat="1" ht="14.1" customHeight="1" spans="1:25 16376:16384">
      <c r="A57" s="24" t="s">
        <v>185</v>
      </c>
      <c r="B57" s="25">
        <v>46247</v>
      </c>
      <c r="C57" s="26">
        <v>4500013831</v>
      </c>
      <c r="D57" s="26">
        <v>46245</v>
      </c>
      <c r="E57" s="27" t="s">
        <v>186</v>
      </c>
      <c r="F57" s="28" t="s">
        <v>97</v>
      </c>
      <c r="G57" s="24" t="s">
        <v>29</v>
      </c>
      <c r="H57" s="29">
        <v>949129346</v>
      </c>
      <c r="I57" s="29" t="s">
        <v>187</v>
      </c>
      <c r="J57" s="24">
        <v>20000</v>
      </c>
      <c r="K57" s="24">
        <v>6.25</v>
      </c>
      <c r="L57" s="24">
        <v>20000</v>
      </c>
      <c r="M57" s="24">
        <v>125000</v>
      </c>
      <c r="N57" s="26" t="s">
        <v>18</v>
      </c>
      <c r="O57" s="26">
        <v>46248</v>
      </c>
      <c r="P57" s="26">
        <v>46261</v>
      </c>
      <c r="Q57" s="26"/>
      <c r="R57" s="26"/>
      <c r="S57" s="31">
        <v>46263</v>
      </c>
      <c r="T57" s="32">
        <f ca="1" t="shared" si="18"/>
        <v>14</v>
      </c>
      <c r="W57" s="34"/>
      <c r="XEV57" s="37"/>
      <c r="XEW57" s="38"/>
      <c r="XEX57" s="39"/>
      <c r="XEY57" s="39"/>
      <c r="XEZ57" s="40"/>
      <c r="XFA57" s="24"/>
      <c r="XFB57" s="25"/>
      <c r="XFC57" s="26"/>
      <c r="XFD57" s="26"/>
    </row>
    <row r="58" s="1" customFormat="1" ht="14.1" customHeight="1" spans="1:25 16376:16384">
      <c r="A58" s="24" t="s">
        <v>188</v>
      </c>
      <c r="B58" s="25">
        <v>46247</v>
      </c>
      <c r="C58" s="26">
        <v>4500013831</v>
      </c>
      <c r="D58" s="26">
        <v>46245</v>
      </c>
      <c r="E58" s="27" t="s">
        <v>186</v>
      </c>
      <c r="F58" s="28" t="s">
        <v>97</v>
      </c>
      <c r="G58" s="24" t="s">
        <v>29</v>
      </c>
      <c r="H58" s="29">
        <v>949129345</v>
      </c>
      <c r="I58" s="29" t="s">
        <v>189</v>
      </c>
      <c r="J58" s="24">
        <v>30000</v>
      </c>
      <c r="K58" s="24">
        <v>4.08</v>
      </c>
      <c r="L58" s="24">
        <v>30000</v>
      </c>
      <c r="M58" s="24">
        <v>122400</v>
      </c>
      <c r="N58" s="26" t="s">
        <v>50</v>
      </c>
      <c r="O58" s="26">
        <v>46248</v>
      </c>
      <c r="P58" s="26"/>
      <c r="Q58" s="26"/>
      <c r="R58" s="26"/>
      <c r="S58" s="31">
        <v>46263</v>
      </c>
      <c r="T58" s="32">
        <f ca="1" t="shared" si="18"/>
        <v>14</v>
      </c>
      <c r="W58" s="34"/>
      <c r="XEV58" s="37"/>
      <c r="XEW58" s="38"/>
      <c r="XEX58" s="39"/>
      <c r="XEY58" s="39"/>
      <c r="XEZ58" s="40"/>
      <c r="XFA58" s="24"/>
      <c r="XFB58" s="25"/>
      <c r="XFC58" s="26"/>
      <c r="XFD58" s="26"/>
    </row>
    <row r="59" s="1" customFormat="1" ht="14.1" customHeight="1" spans="1:25 16376:16384">
      <c r="A59" s="24" t="s">
        <v>190</v>
      </c>
      <c r="B59" s="25">
        <v>46247</v>
      </c>
      <c r="C59" s="26">
        <v>4500013831</v>
      </c>
      <c r="D59" s="26">
        <v>46245</v>
      </c>
      <c r="E59" s="27" t="s">
        <v>186</v>
      </c>
      <c r="F59" s="28" t="s">
        <v>97</v>
      </c>
      <c r="G59" s="24" t="s">
        <v>29</v>
      </c>
      <c r="H59" s="29">
        <v>949129349</v>
      </c>
      <c r="I59" s="29" t="s">
        <v>191</v>
      </c>
      <c r="J59" s="24">
        <v>12000</v>
      </c>
      <c r="K59" s="24">
        <v>5.55</v>
      </c>
      <c r="L59" s="24">
        <v>12000</v>
      </c>
      <c r="M59" s="24">
        <v>66600</v>
      </c>
      <c r="N59" s="26" t="s">
        <v>31</v>
      </c>
      <c r="O59" s="26">
        <v>46248</v>
      </c>
      <c r="P59" s="26">
        <v>46252</v>
      </c>
      <c r="Q59" s="26">
        <v>46255</v>
      </c>
      <c r="R59" s="26">
        <v>46256</v>
      </c>
      <c r="S59" s="31">
        <v>46262</v>
      </c>
      <c r="T59" s="32">
        <f ca="1" t="shared" si="18"/>
        <v>14</v>
      </c>
      <c r="W59" s="34">
        <f t="shared" ref="W59:Y59" si="20">+P59-O59</f>
        <v>4</v>
      </c>
      <c r="X59" s="1">
        <f t="shared" si="20"/>
        <v>3</v>
      </c>
      <c r="Y59" s="1">
        <f t="shared" si="20"/>
        <v>1</v>
      </c>
      <c r="XEV59" s="37"/>
      <c r="XEW59" s="38"/>
      <c r="XEX59" s="39"/>
      <c r="XEY59" s="39"/>
      <c r="XEZ59" s="40"/>
      <c r="XFA59" s="24"/>
      <c r="XFB59" s="25"/>
      <c r="XFC59" s="26"/>
      <c r="XFD59" s="26"/>
    </row>
    <row r="60" s="1" customFormat="1" ht="14.1" customHeight="1" spans="1:25 16376:16384">
      <c r="A60" s="24" t="s">
        <v>192</v>
      </c>
      <c r="B60" s="25">
        <v>46247</v>
      </c>
      <c r="C60" s="26">
        <v>4500013831</v>
      </c>
      <c r="D60" s="26">
        <v>46245</v>
      </c>
      <c r="E60" s="27" t="s">
        <v>186</v>
      </c>
      <c r="F60" s="28" t="s">
        <v>97</v>
      </c>
      <c r="G60" s="24" t="s">
        <v>29</v>
      </c>
      <c r="H60" s="29">
        <v>949129350</v>
      </c>
      <c r="I60" s="29" t="s">
        <v>193</v>
      </c>
      <c r="J60" s="24">
        <v>8000</v>
      </c>
      <c r="K60" s="24">
        <v>5.55</v>
      </c>
      <c r="L60" s="24">
        <v>8000</v>
      </c>
      <c r="M60" s="24">
        <v>44400</v>
      </c>
      <c r="N60" s="26" t="s">
        <v>31</v>
      </c>
      <c r="O60" s="26">
        <v>46251</v>
      </c>
      <c r="P60" s="26">
        <v>46252</v>
      </c>
      <c r="Q60" s="26">
        <v>46255</v>
      </c>
      <c r="R60" s="26">
        <v>46258</v>
      </c>
      <c r="S60" s="31">
        <v>46262</v>
      </c>
      <c r="T60" s="32">
        <f ca="1" t="shared" si="18"/>
        <v>14</v>
      </c>
      <c r="W60" s="34">
        <f t="shared" ref="W60:Y60" si="21">+P60-O60</f>
        <v>1</v>
      </c>
      <c r="X60" s="1">
        <f t="shared" si="21"/>
        <v>3</v>
      </c>
      <c r="Y60" s="1">
        <f t="shared" si="21"/>
        <v>3</v>
      </c>
      <c r="XEV60" s="37"/>
      <c r="XEW60" s="38"/>
      <c r="XEX60" s="39"/>
      <c r="XEY60" s="39"/>
      <c r="XEZ60" s="40"/>
      <c r="XFA60" s="24"/>
      <c r="XFB60" s="25"/>
      <c r="XFC60" s="26"/>
      <c r="XFD60" s="26"/>
    </row>
    <row r="61" s="1" customFormat="1" ht="14.1" customHeight="1" spans="1:25 16376:16384">
      <c r="A61" s="24" t="s">
        <v>194</v>
      </c>
      <c r="B61" s="25">
        <v>46247</v>
      </c>
      <c r="C61" s="26">
        <v>9500226891</v>
      </c>
      <c r="D61" s="26">
        <v>46246</v>
      </c>
      <c r="E61" s="27" t="s">
        <v>174</v>
      </c>
      <c r="F61" s="28" t="s">
        <v>175</v>
      </c>
      <c r="G61" s="24" t="s">
        <v>29</v>
      </c>
      <c r="H61" s="29">
        <v>2080857</v>
      </c>
      <c r="I61" s="29" t="s">
        <v>195</v>
      </c>
      <c r="J61" s="24">
        <v>10000</v>
      </c>
      <c r="K61" s="24">
        <v>3.3</v>
      </c>
      <c r="L61" s="24">
        <v>10000</v>
      </c>
      <c r="M61" s="24">
        <v>33000</v>
      </c>
      <c r="N61" s="26" t="s">
        <v>31</v>
      </c>
      <c r="O61" s="26">
        <v>46251</v>
      </c>
      <c r="P61" s="26">
        <v>46252</v>
      </c>
      <c r="Q61" s="26">
        <v>46254</v>
      </c>
      <c r="R61" s="26">
        <v>46258</v>
      </c>
      <c r="S61" s="31">
        <v>46262</v>
      </c>
      <c r="T61" s="32">
        <f ca="1" t="shared" si="18"/>
        <v>14</v>
      </c>
      <c r="W61" s="34">
        <f t="shared" ref="W61:Y61" si="22">+P61-O61</f>
        <v>1</v>
      </c>
      <c r="X61" s="1">
        <f t="shared" si="22"/>
        <v>2</v>
      </c>
      <c r="Y61" s="1">
        <f t="shared" si="22"/>
        <v>4</v>
      </c>
      <c r="XEV61" s="37"/>
      <c r="XEW61" s="38"/>
      <c r="XEX61" s="39"/>
      <c r="XEY61" s="39"/>
      <c r="XEZ61" s="40"/>
      <c r="XFA61" s="24"/>
      <c r="XFB61" s="25"/>
      <c r="XFC61" s="26"/>
      <c r="XFD61" s="26"/>
    </row>
    <row r="62" s="1" customFormat="1" ht="14.1" customHeight="1" spans="1:25 16376:16384">
      <c r="A62" s="24" t="s">
        <v>196</v>
      </c>
      <c r="B62" s="25">
        <v>46247</v>
      </c>
      <c r="C62" s="26">
        <v>9500227452</v>
      </c>
      <c r="D62" s="26">
        <v>46247</v>
      </c>
      <c r="E62" s="27" t="s">
        <v>27</v>
      </c>
      <c r="F62" s="28" t="s">
        <v>28</v>
      </c>
      <c r="G62" s="24" t="s">
        <v>29</v>
      </c>
      <c r="H62" s="29">
        <v>2104828</v>
      </c>
      <c r="I62" s="29" t="s">
        <v>197</v>
      </c>
      <c r="J62" s="24">
        <v>145000</v>
      </c>
      <c r="K62" s="24">
        <v>1.8</v>
      </c>
      <c r="L62" s="24">
        <v>145000</v>
      </c>
      <c r="M62" s="24">
        <v>261000</v>
      </c>
      <c r="N62" s="26" t="s">
        <v>107</v>
      </c>
      <c r="O62" s="26">
        <v>46251</v>
      </c>
      <c r="P62" s="26">
        <v>46255</v>
      </c>
      <c r="Q62" s="26">
        <v>46259</v>
      </c>
      <c r="R62" s="26"/>
      <c r="S62" s="31">
        <v>46263</v>
      </c>
      <c r="T62" s="32">
        <f ca="1" t="shared" si="18"/>
        <v>14</v>
      </c>
      <c r="W62" s="34">
        <f t="shared" ref="W62:W68" si="23">+P62-O62</f>
        <v>4</v>
      </c>
      <c r="X62" s="1">
        <f t="shared" ref="X62:X68" si="24">+Q62-P62</f>
        <v>4</v>
      </c>
      <c r="XEV62" s="37"/>
      <c r="XEW62" s="38"/>
      <c r="XEX62" s="39"/>
      <c r="XEY62" s="39"/>
      <c r="XEZ62" s="40"/>
      <c r="XFA62" s="24"/>
      <c r="XFB62" s="25"/>
      <c r="XFC62" s="26"/>
      <c r="XFD62" s="26"/>
    </row>
    <row r="63" s="1" customFormat="1" ht="14.1" customHeight="1" spans="1:25 16376:16384">
      <c r="A63" s="24" t="s">
        <v>198</v>
      </c>
      <c r="B63" s="25">
        <v>46248</v>
      </c>
      <c r="C63" s="26" t="s">
        <v>199</v>
      </c>
      <c r="D63" s="26">
        <v>46248</v>
      </c>
      <c r="E63" s="27" t="s">
        <v>84</v>
      </c>
      <c r="F63" s="24" t="s">
        <v>89</v>
      </c>
      <c r="G63" s="24" t="s">
        <v>42</v>
      </c>
      <c r="H63" s="29">
        <v>1200012956</v>
      </c>
      <c r="I63" s="29" t="s">
        <v>200</v>
      </c>
      <c r="J63" s="24">
        <v>60000</v>
      </c>
      <c r="K63" s="24">
        <v>1.32</v>
      </c>
      <c r="L63" s="24">
        <v>60000</v>
      </c>
      <c r="M63" s="24">
        <v>79200</v>
      </c>
      <c r="N63" s="26" t="s">
        <v>59</v>
      </c>
      <c r="O63" s="26">
        <v>46253</v>
      </c>
      <c r="P63" s="26">
        <v>46253</v>
      </c>
      <c r="Q63" s="26"/>
      <c r="R63" s="26"/>
      <c r="S63" s="26"/>
      <c r="T63" s="32">
        <f ca="1">TODAY()-U63</f>
        <v>2</v>
      </c>
      <c r="U63" s="44">
        <v>46259</v>
      </c>
      <c r="XEV63" s="37"/>
      <c r="XEW63" s="38"/>
      <c r="XEX63" s="39"/>
      <c r="XEY63" s="39"/>
      <c r="XEZ63" s="40"/>
      <c r="XFA63" s="24"/>
      <c r="XFB63" s="25"/>
      <c r="XFC63" s="26"/>
      <c r="XFD63" s="26"/>
    </row>
    <row r="64" s="1" customFormat="1" ht="14.1" customHeight="1" spans="1:25 16376:16384">
      <c r="A64" s="24" t="s">
        <v>201</v>
      </c>
      <c r="B64" s="25">
        <v>46248</v>
      </c>
      <c r="C64" s="26">
        <v>5800285868</v>
      </c>
      <c r="D64" s="26">
        <v>46246</v>
      </c>
      <c r="E64" s="27" t="s">
        <v>202</v>
      </c>
      <c r="F64" s="28" t="s">
        <v>203</v>
      </c>
      <c r="G64" s="24" t="s">
        <v>42</v>
      </c>
      <c r="H64" s="29">
        <v>5062746</v>
      </c>
      <c r="I64" s="29" t="s">
        <v>204</v>
      </c>
      <c r="J64" s="24">
        <v>12000</v>
      </c>
      <c r="K64" s="24">
        <v>1.78</v>
      </c>
      <c r="L64" s="24">
        <v>12000</v>
      </c>
      <c r="M64" s="24">
        <v>21360</v>
      </c>
      <c r="N64" s="26" t="s">
        <v>18</v>
      </c>
      <c r="O64" s="26">
        <v>46252</v>
      </c>
      <c r="P64" s="26">
        <v>46253</v>
      </c>
      <c r="Q64" s="26"/>
      <c r="R64" s="26"/>
      <c r="S64" s="26"/>
      <c r="T64" s="32">
        <f ca="1" t="shared" ref="T64:T69" si="25">TODAY()-B64</f>
        <v>13</v>
      </c>
      <c r="W64" s="34">
        <f t="shared" si="23"/>
        <v>1</v>
      </c>
      <c r="XEV64" s="37"/>
      <c r="XEW64" s="38"/>
      <c r="XEX64" s="39"/>
      <c r="XEY64" s="39"/>
      <c r="XEZ64" s="40"/>
      <c r="XFA64" s="24"/>
      <c r="XFB64" s="25"/>
      <c r="XFC64" s="26"/>
      <c r="XFD64" s="26"/>
    </row>
    <row r="65" s="1" customFormat="1" ht="14.1" customHeight="1" spans="1:25 16376:16384">
      <c r="A65" s="24" t="s">
        <v>205</v>
      </c>
      <c r="B65" s="25">
        <v>46248</v>
      </c>
      <c r="C65" s="26">
        <v>5800285868</v>
      </c>
      <c r="D65" s="26">
        <v>46246</v>
      </c>
      <c r="E65" s="27" t="s">
        <v>202</v>
      </c>
      <c r="F65" s="28" t="s">
        <v>203</v>
      </c>
      <c r="G65" s="24" t="s">
        <v>42</v>
      </c>
      <c r="H65" s="29">
        <v>5063470</v>
      </c>
      <c r="I65" s="29" t="s">
        <v>206</v>
      </c>
      <c r="J65" s="24">
        <v>35000</v>
      </c>
      <c r="K65" s="24">
        <v>1.69</v>
      </c>
      <c r="L65" s="24">
        <v>35000</v>
      </c>
      <c r="M65" s="24">
        <v>59150</v>
      </c>
      <c r="N65" s="26" t="s">
        <v>18</v>
      </c>
      <c r="O65" s="26">
        <v>46252</v>
      </c>
      <c r="P65" s="26">
        <v>46253</v>
      </c>
      <c r="Q65" s="26"/>
      <c r="R65" s="26"/>
      <c r="S65" s="26"/>
      <c r="T65" s="32">
        <f ca="1" t="shared" si="25"/>
        <v>13</v>
      </c>
      <c r="W65" s="34">
        <f t="shared" si="23"/>
        <v>1</v>
      </c>
      <c r="XEV65" s="37"/>
      <c r="XEW65" s="38"/>
      <c r="XEX65" s="39"/>
      <c r="XEY65" s="39"/>
      <c r="XEZ65" s="40"/>
      <c r="XFA65" s="24"/>
      <c r="XFB65" s="25"/>
      <c r="XFC65" s="26"/>
      <c r="XFD65" s="26"/>
    </row>
    <row r="66" s="1" customFormat="1" ht="14.1" customHeight="1" spans="1:25 16376:16384">
      <c r="A66" s="24" t="s">
        <v>207</v>
      </c>
      <c r="B66" s="25">
        <v>46248</v>
      </c>
      <c r="C66" s="26" t="s">
        <v>208</v>
      </c>
      <c r="D66" s="26">
        <v>46248</v>
      </c>
      <c r="E66" s="27" t="s">
        <v>178</v>
      </c>
      <c r="F66" s="41" t="s">
        <v>209</v>
      </c>
      <c r="G66" s="24" t="s">
        <v>29</v>
      </c>
      <c r="H66" s="29" t="s">
        <v>210</v>
      </c>
      <c r="I66" s="29" t="s">
        <v>211</v>
      </c>
      <c r="J66" s="24">
        <v>55000</v>
      </c>
      <c r="K66" s="24">
        <v>2.1</v>
      </c>
      <c r="L66" s="24">
        <v>55000</v>
      </c>
      <c r="M66" s="24">
        <v>115500</v>
      </c>
      <c r="N66" s="26" t="s">
        <v>31</v>
      </c>
      <c r="O66" s="26">
        <v>46252</v>
      </c>
      <c r="P66" s="26">
        <v>46253</v>
      </c>
      <c r="Q66" s="26">
        <v>46255</v>
      </c>
      <c r="R66" s="26">
        <v>46259</v>
      </c>
      <c r="S66" s="31">
        <v>46260</v>
      </c>
      <c r="T66" s="32">
        <f ca="1" t="shared" si="25"/>
        <v>13</v>
      </c>
      <c r="W66" s="34">
        <f t="shared" si="23"/>
        <v>1</v>
      </c>
      <c r="X66" s="1">
        <f t="shared" si="24"/>
        <v>2</v>
      </c>
      <c r="Y66" s="1">
        <f>+R66-Q66</f>
        <v>4</v>
      </c>
      <c r="XEV66" s="37"/>
      <c r="XEW66" s="38"/>
      <c r="XEX66" s="39"/>
      <c r="XEY66" s="39"/>
      <c r="XEZ66" s="40"/>
      <c r="XFA66" s="24"/>
      <c r="XFB66" s="25"/>
      <c r="XFC66" s="26"/>
      <c r="XFD66" s="26"/>
    </row>
    <row r="67" s="1" customFormat="1" ht="14.1" customHeight="1" spans="1:25 16376:16384">
      <c r="A67" s="24" t="s">
        <v>212</v>
      </c>
      <c r="B67" s="25">
        <v>46248</v>
      </c>
      <c r="C67" s="26" t="s">
        <v>213</v>
      </c>
      <c r="D67" s="26">
        <v>46248</v>
      </c>
      <c r="E67" s="27" t="s">
        <v>178</v>
      </c>
      <c r="F67" s="41" t="s">
        <v>209</v>
      </c>
      <c r="G67" s="24" t="s">
        <v>29</v>
      </c>
      <c r="H67" s="29" t="s">
        <v>214</v>
      </c>
      <c r="I67" s="29" t="s">
        <v>215</v>
      </c>
      <c r="J67" s="24">
        <v>43000</v>
      </c>
      <c r="K67" s="24">
        <v>2.3</v>
      </c>
      <c r="L67" s="24">
        <v>43000</v>
      </c>
      <c r="M67" s="24">
        <v>98900</v>
      </c>
      <c r="N67" s="26" t="s">
        <v>107</v>
      </c>
      <c r="O67" s="26">
        <v>46252</v>
      </c>
      <c r="P67" s="26">
        <v>46253</v>
      </c>
      <c r="Q67" s="26">
        <v>46256</v>
      </c>
      <c r="R67" s="26"/>
      <c r="S67" s="31">
        <v>46260</v>
      </c>
      <c r="T67" s="32">
        <f ca="1" t="shared" si="25"/>
        <v>13</v>
      </c>
      <c r="W67" s="34">
        <f t="shared" si="23"/>
        <v>1</v>
      </c>
      <c r="X67" s="1">
        <f t="shared" si="24"/>
        <v>3</v>
      </c>
      <c r="XEV67" s="37"/>
      <c r="XEW67" s="38"/>
      <c r="XEX67" s="39"/>
      <c r="XEY67" s="39"/>
      <c r="XEZ67" s="40"/>
      <c r="XFA67" s="24"/>
      <c r="XFB67" s="25"/>
      <c r="XFC67" s="26"/>
      <c r="XFD67" s="26"/>
    </row>
    <row r="68" s="1" customFormat="1" ht="14.1" customHeight="1" spans="1:25 16376:16384">
      <c r="A68" s="24" t="s">
        <v>216</v>
      </c>
      <c r="B68" s="25">
        <v>46248</v>
      </c>
      <c r="C68" s="26" t="s">
        <v>217</v>
      </c>
      <c r="D68" s="26">
        <v>46248</v>
      </c>
      <c r="E68" s="27" t="s">
        <v>178</v>
      </c>
      <c r="F68" s="41" t="s">
        <v>209</v>
      </c>
      <c r="G68" s="24" t="s">
        <v>29</v>
      </c>
      <c r="H68" s="29" t="s">
        <v>218</v>
      </c>
      <c r="I68" s="29" t="s">
        <v>219</v>
      </c>
      <c r="J68" s="24">
        <v>65000</v>
      </c>
      <c r="K68" s="24">
        <v>2.5</v>
      </c>
      <c r="L68" s="24">
        <v>65000</v>
      </c>
      <c r="M68" s="24">
        <v>162500</v>
      </c>
      <c r="N68" s="26" t="s">
        <v>31</v>
      </c>
      <c r="O68" s="26">
        <v>46252</v>
      </c>
      <c r="P68" s="26">
        <v>46253</v>
      </c>
      <c r="Q68" s="26">
        <v>46255</v>
      </c>
      <c r="R68" s="26">
        <v>46260</v>
      </c>
      <c r="S68" s="31">
        <v>46260</v>
      </c>
      <c r="T68" s="32">
        <f ca="1" t="shared" si="25"/>
        <v>13</v>
      </c>
      <c r="W68" s="34">
        <f t="shared" si="23"/>
        <v>1</v>
      </c>
      <c r="X68" s="1">
        <f t="shared" si="24"/>
        <v>2</v>
      </c>
      <c r="XEV68" s="37"/>
      <c r="XEW68" s="38"/>
      <c r="XEX68" s="39"/>
      <c r="XEY68" s="39"/>
      <c r="XEZ68" s="40"/>
      <c r="XFA68" s="24"/>
      <c r="XFB68" s="25"/>
      <c r="XFC68" s="26"/>
      <c r="XFD68" s="26"/>
    </row>
    <row r="69" s="1" customFormat="1" ht="14.1" customHeight="1" spans="1:25 16376:16384">
      <c r="A69" s="24" t="s">
        <v>220</v>
      </c>
      <c r="B69" s="25">
        <v>46252</v>
      </c>
      <c r="C69" s="26">
        <v>8110001614</v>
      </c>
      <c r="D69" s="26">
        <v>46252</v>
      </c>
      <c r="E69" s="27" t="s">
        <v>221</v>
      </c>
      <c r="F69" s="41" t="s">
        <v>222</v>
      </c>
      <c r="G69" s="24" t="s">
        <v>42</v>
      </c>
      <c r="H69" s="29">
        <v>1054229</v>
      </c>
      <c r="I69" s="29" t="s">
        <v>223</v>
      </c>
      <c r="J69" s="24">
        <v>32000</v>
      </c>
      <c r="K69" s="24">
        <v>3.54</v>
      </c>
      <c r="L69" s="24">
        <v>32000</v>
      </c>
      <c r="M69" s="24">
        <v>113280</v>
      </c>
      <c r="N69" s="26" t="s">
        <v>224</v>
      </c>
      <c r="O69" s="26">
        <v>46254</v>
      </c>
      <c r="P69" s="26">
        <v>46255</v>
      </c>
      <c r="Q69" s="26"/>
      <c r="R69" s="26"/>
      <c r="S69" s="26"/>
      <c r="T69" s="32">
        <f ca="1" t="shared" si="25"/>
        <v>9</v>
      </c>
      <c r="XEV69" s="37"/>
      <c r="XEW69" s="38"/>
      <c r="XEX69" s="39"/>
      <c r="XEY69" s="39"/>
      <c r="XEZ69" s="40"/>
      <c r="XFA69" s="24"/>
      <c r="XFB69" s="25"/>
      <c r="XFC69" s="26"/>
      <c r="XFD69" s="26"/>
    </row>
    <row r="70" s="1" customFormat="1" ht="14.1" customHeight="1" spans="1:25 16376:16384">
      <c r="A70" s="24" t="s">
        <v>225</v>
      </c>
      <c r="B70" s="25">
        <v>46252</v>
      </c>
      <c r="C70" s="26">
        <v>8110001614</v>
      </c>
      <c r="D70" s="26">
        <v>46252</v>
      </c>
      <c r="E70" s="27" t="s">
        <v>221</v>
      </c>
      <c r="F70" s="28" t="s">
        <v>222</v>
      </c>
      <c r="G70" s="24" t="s">
        <v>42</v>
      </c>
      <c r="H70" s="29">
        <v>1053035</v>
      </c>
      <c r="I70" s="29" t="s">
        <v>226</v>
      </c>
      <c r="J70" s="24">
        <v>135000</v>
      </c>
      <c r="K70" s="24">
        <v>1.35</v>
      </c>
      <c r="L70" s="24">
        <v>135000</v>
      </c>
      <c r="M70" s="24">
        <v>182250</v>
      </c>
      <c r="N70" s="26" t="s">
        <v>59</v>
      </c>
      <c r="O70" s="26">
        <v>46254</v>
      </c>
      <c r="P70" s="26"/>
      <c r="Q70" s="26"/>
      <c r="R70" s="26"/>
      <c r="S70" s="26"/>
      <c r="T70" s="32">
        <f ca="1">TODAY()-U70</f>
        <v>2</v>
      </c>
      <c r="U70" s="44">
        <v>46259</v>
      </c>
      <c r="XEV70" s="37"/>
      <c r="XEW70" s="38"/>
      <c r="XEX70" s="39"/>
      <c r="XEY70" s="39"/>
      <c r="XEZ70" s="40"/>
      <c r="XFA70" s="24"/>
      <c r="XFB70" s="25"/>
      <c r="XFC70" s="26"/>
      <c r="XFD70" s="26"/>
    </row>
    <row r="71" s="1" customFormat="1" ht="14.1" customHeight="1" spans="1:25 16376:16384">
      <c r="A71" s="24" t="s">
        <v>227</v>
      </c>
      <c r="B71" s="25">
        <v>46252</v>
      </c>
      <c r="C71" s="26">
        <v>8110001613</v>
      </c>
      <c r="D71" s="26" t="s">
        <v>228</v>
      </c>
      <c r="E71" s="27" t="s">
        <v>121</v>
      </c>
      <c r="F71" s="41" t="s">
        <v>85</v>
      </c>
      <c r="G71" s="24" t="s">
        <v>42</v>
      </c>
      <c r="H71" s="29">
        <v>1054883</v>
      </c>
      <c r="I71" s="29" t="s">
        <v>229</v>
      </c>
      <c r="J71" s="24">
        <v>230000</v>
      </c>
      <c r="K71" s="24">
        <v>1.75</v>
      </c>
      <c r="L71" s="24">
        <v>230000</v>
      </c>
      <c r="M71" s="24">
        <v>402500</v>
      </c>
      <c r="N71" s="26" t="s">
        <v>230</v>
      </c>
      <c r="O71" s="26">
        <v>46254</v>
      </c>
      <c r="P71" s="26">
        <v>46255</v>
      </c>
      <c r="Q71" s="26"/>
      <c r="R71" s="26"/>
      <c r="S71" s="26"/>
      <c r="T71" s="32">
        <f ca="1" t="shared" ref="T71:T76" si="26">TODAY()-B71</f>
        <v>9</v>
      </c>
      <c r="XEV71" s="37"/>
      <c r="XEW71" s="38"/>
      <c r="XEX71" s="39"/>
      <c r="XEY71" s="39"/>
      <c r="XEZ71" s="40"/>
      <c r="XFA71" s="24"/>
      <c r="XFB71" s="25"/>
      <c r="XFC71" s="26"/>
      <c r="XFD71" s="26"/>
    </row>
    <row r="72" s="1" customFormat="1" ht="14.1" customHeight="1" spans="1:25 16376:16384">
      <c r="A72" s="24" t="s">
        <v>231</v>
      </c>
      <c r="B72" s="25">
        <v>46252</v>
      </c>
      <c r="C72" s="26">
        <v>8110001613</v>
      </c>
      <c r="D72" s="26">
        <v>46252</v>
      </c>
      <c r="E72" s="27" t="s">
        <v>121</v>
      </c>
      <c r="F72" s="41" t="s">
        <v>85</v>
      </c>
      <c r="G72" s="24" t="s">
        <v>42</v>
      </c>
      <c r="H72" s="29">
        <v>1054886</v>
      </c>
      <c r="I72" s="29" t="s">
        <v>232</v>
      </c>
      <c r="J72" s="24">
        <v>72000</v>
      </c>
      <c r="K72" s="24">
        <v>1.45</v>
      </c>
      <c r="L72" s="24">
        <v>72000</v>
      </c>
      <c r="M72" s="24">
        <v>104400</v>
      </c>
      <c r="N72" s="26" t="s">
        <v>230</v>
      </c>
      <c r="O72" s="26">
        <v>46254</v>
      </c>
      <c r="P72" s="26">
        <v>46260</v>
      </c>
      <c r="Q72" s="26"/>
      <c r="R72" s="26"/>
      <c r="S72" s="26"/>
      <c r="T72" s="32">
        <f ca="1" t="shared" si="26"/>
        <v>9</v>
      </c>
      <c r="XEV72" s="37"/>
      <c r="XEW72" s="38"/>
      <c r="XEX72" s="39"/>
      <c r="XEY72" s="39"/>
      <c r="XEZ72" s="40"/>
      <c r="XFA72" s="24"/>
      <c r="XFB72" s="25"/>
      <c r="XFC72" s="26"/>
      <c r="XFD72" s="26"/>
    </row>
    <row r="73" s="1" customFormat="1" ht="14.1" customHeight="1" spans="1:25 16376:16384">
      <c r="A73" s="24" t="s">
        <v>233</v>
      </c>
      <c r="B73" s="25">
        <v>46252</v>
      </c>
      <c r="C73" s="26">
        <v>9500227628</v>
      </c>
      <c r="D73" s="26">
        <v>46247</v>
      </c>
      <c r="E73" s="27" t="s">
        <v>174</v>
      </c>
      <c r="F73" s="28" t="s">
        <v>175</v>
      </c>
      <c r="G73" s="24" t="s">
        <v>42</v>
      </c>
      <c r="H73" s="29">
        <v>2098172</v>
      </c>
      <c r="I73" s="29" t="s">
        <v>234</v>
      </c>
      <c r="J73" s="24">
        <v>3000</v>
      </c>
      <c r="K73" s="24">
        <v>7.5</v>
      </c>
      <c r="L73" s="24">
        <v>3000</v>
      </c>
      <c r="M73" s="24">
        <v>22500</v>
      </c>
      <c r="N73" s="26" t="s">
        <v>50</v>
      </c>
      <c r="O73" s="26">
        <v>46261</v>
      </c>
      <c r="P73" s="26"/>
      <c r="Q73" s="26"/>
      <c r="R73" s="26"/>
      <c r="S73" s="26"/>
      <c r="T73" s="32">
        <f ca="1" t="shared" ref="T73:T78" si="27">TODAY()-U73</f>
        <v>3</v>
      </c>
      <c r="U73" s="44">
        <v>46258</v>
      </c>
      <c r="XEV73" s="37"/>
      <c r="XEW73" s="38"/>
      <c r="XEX73" s="39"/>
      <c r="XEY73" s="39"/>
      <c r="XEZ73" s="40"/>
      <c r="XFA73" s="24"/>
      <c r="XFB73" s="25"/>
      <c r="XFC73" s="26"/>
      <c r="XFD73" s="26"/>
    </row>
    <row r="74" s="1" customFormat="1" ht="14.1" customHeight="1" spans="1:25 16376:16384">
      <c r="A74" s="24" t="s">
        <v>235</v>
      </c>
      <c r="B74" s="25">
        <v>46252</v>
      </c>
      <c r="C74" s="26">
        <v>9500227628</v>
      </c>
      <c r="D74" s="26">
        <v>46247</v>
      </c>
      <c r="E74" s="27" t="s">
        <v>174</v>
      </c>
      <c r="F74" s="28" t="s">
        <v>175</v>
      </c>
      <c r="G74" s="24" t="s">
        <v>42</v>
      </c>
      <c r="H74" s="29">
        <v>2109877</v>
      </c>
      <c r="I74" s="29" t="s">
        <v>236</v>
      </c>
      <c r="J74" s="24">
        <v>10000</v>
      </c>
      <c r="K74" s="24">
        <v>3.75</v>
      </c>
      <c r="L74" s="24">
        <v>10000</v>
      </c>
      <c r="M74" s="24">
        <v>37500</v>
      </c>
      <c r="N74" s="26" t="s">
        <v>70</v>
      </c>
      <c r="O74" s="26"/>
      <c r="P74" s="26"/>
      <c r="Q74" s="26"/>
      <c r="R74" s="26"/>
      <c r="S74" s="26"/>
      <c r="T74" s="32">
        <f ca="1" t="shared" si="26"/>
        <v>9</v>
      </c>
      <c r="XEV74" s="37"/>
      <c r="XEW74" s="38"/>
      <c r="XEX74" s="39"/>
      <c r="XEY74" s="39"/>
      <c r="XEZ74" s="40"/>
      <c r="XFA74" s="24"/>
      <c r="XFB74" s="25"/>
      <c r="XFC74" s="26"/>
      <c r="XFD74" s="26"/>
    </row>
    <row r="75" s="1" customFormat="1" ht="14.1" customHeight="1" spans="1:25 16376:16384">
      <c r="A75" s="24" t="s">
        <v>237</v>
      </c>
      <c r="B75" s="25">
        <v>46252</v>
      </c>
      <c r="C75" s="26">
        <v>9500227628</v>
      </c>
      <c r="D75" s="26">
        <v>46247</v>
      </c>
      <c r="E75" s="27" t="s">
        <v>174</v>
      </c>
      <c r="F75" s="28" t="s">
        <v>175</v>
      </c>
      <c r="G75" s="24" t="s">
        <v>42</v>
      </c>
      <c r="H75" s="29">
        <v>2111033</v>
      </c>
      <c r="I75" s="29" t="s">
        <v>238</v>
      </c>
      <c r="J75" s="24">
        <v>15000</v>
      </c>
      <c r="K75" s="24">
        <v>2.1</v>
      </c>
      <c r="L75" s="24">
        <v>15000</v>
      </c>
      <c r="M75" s="24">
        <v>31500</v>
      </c>
      <c r="N75" s="26" t="s">
        <v>70</v>
      </c>
      <c r="O75" s="26"/>
      <c r="P75" s="26"/>
      <c r="Q75" s="26"/>
      <c r="R75" s="26"/>
      <c r="S75" s="26"/>
      <c r="T75" s="32">
        <f ca="1" t="shared" si="26"/>
        <v>9</v>
      </c>
      <c r="XEV75" s="37"/>
      <c r="XEW75" s="38"/>
      <c r="XEX75" s="39"/>
      <c r="XEY75" s="39"/>
      <c r="XEZ75" s="40"/>
      <c r="XFA75" s="24"/>
      <c r="XFB75" s="25"/>
      <c r="XFC75" s="26"/>
      <c r="XFD75" s="26"/>
    </row>
    <row r="76" s="1" customFormat="1" ht="14.1" customHeight="1" spans="1:25 16376:16384">
      <c r="A76" s="24" t="s">
        <v>239</v>
      </c>
      <c r="B76" s="25">
        <v>46252</v>
      </c>
      <c r="C76" s="26">
        <v>9500227628</v>
      </c>
      <c r="D76" s="26">
        <v>46247</v>
      </c>
      <c r="E76" s="27" t="s">
        <v>174</v>
      </c>
      <c r="F76" s="28" t="s">
        <v>175</v>
      </c>
      <c r="G76" s="24" t="s">
        <v>42</v>
      </c>
      <c r="H76" s="29">
        <v>2112114</v>
      </c>
      <c r="I76" s="29" t="s">
        <v>240</v>
      </c>
      <c r="J76" s="24">
        <v>4000</v>
      </c>
      <c r="K76" s="24">
        <v>6.4</v>
      </c>
      <c r="L76" s="24">
        <v>4000</v>
      </c>
      <c r="M76" s="24">
        <v>25600</v>
      </c>
      <c r="N76" s="26" t="s">
        <v>70</v>
      </c>
      <c r="O76" s="26"/>
      <c r="P76" s="26"/>
      <c r="Q76" s="26"/>
      <c r="R76" s="26"/>
      <c r="S76" s="26"/>
      <c r="T76" s="32">
        <f ca="1" t="shared" si="26"/>
        <v>9</v>
      </c>
      <c r="XEV76" s="37"/>
      <c r="XEW76" s="38"/>
      <c r="XEX76" s="39"/>
      <c r="XEY76" s="39"/>
      <c r="XEZ76" s="40"/>
      <c r="XFA76" s="24"/>
      <c r="XFB76" s="25"/>
      <c r="XFC76" s="26"/>
      <c r="XFD76" s="26"/>
    </row>
    <row r="77" s="1" customFormat="1" ht="14.1" customHeight="1" spans="1:25 16376:16384">
      <c r="A77" s="24" t="s">
        <v>241</v>
      </c>
      <c r="B77" s="25">
        <v>46252</v>
      </c>
      <c r="C77" s="26">
        <v>9500227628</v>
      </c>
      <c r="D77" s="26">
        <v>46247</v>
      </c>
      <c r="E77" s="27" t="s">
        <v>174</v>
      </c>
      <c r="F77" s="28" t="s">
        <v>175</v>
      </c>
      <c r="G77" s="24" t="s">
        <v>42</v>
      </c>
      <c r="H77" s="29">
        <v>2112158</v>
      </c>
      <c r="I77" s="29" t="s">
        <v>242</v>
      </c>
      <c r="J77" s="24">
        <v>4000</v>
      </c>
      <c r="K77" s="24">
        <v>11</v>
      </c>
      <c r="L77" s="24">
        <v>4000</v>
      </c>
      <c r="M77" s="24">
        <v>44000</v>
      </c>
      <c r="N77" s="26" t="s">
        <v>50</v>
      </c>
      <c r="O77" s="26">
        <v>46261</v>
      </c>
      <c r="P77" s="26"/>
      <c r="Q77" s="26"/>
      <c r="R77" s="26"/>
      <c r="S77" s="26"/>
      <c r="T77" s="32">
        <f ca="1" t="shared" si="27"/>
        <v>3</v>
      </c>
      <c r="U77" s="44">
        <v>46258</v>
      </c>
      <c r="XEV77" s="37"/>
      <c r="XEW77" s="38"/>
      <c r="XEX77" s="39"/>
      <c r="XEY77" s="39"/>
      <c r="XEZ77" s="40"/>
      <c r="XFA77" s="24"/>
      <c r="XFB77" s="25"/>
      <c r="XFC77" s="26"/>
      <c r="XFD77" s="26"/>
    </row>
    <row r="78" s="1" customFormat="1" ht="14.1" customHeight="1" spans="1:25 16376:16384">
      <c r="A78" s="24" t="s">
        <v>243</v>
      </c>
      <c r="B78" s="25">
        <v>46252</v>
      </c>
      <c r="C78" s="26">
        <v>9500227628</v>
      </c>
      <c r="D78" s="26">
        <v>46247</v>
      </c>
      <c r="E78" s="27" t="s">
        <v>174</v>
      </c>
      <c r="F78" s="28" t="s">
        <v>175</v>
      </c>
      <c r="G78" s="24" t="s">
        <v>42</v>
      </c>
      <c r="H78" s="29">
        <v>2112159</v>
      </c>
      <c r="I78" s="29" t="s">
        <v>244</v>
      </c>
      <c r="J78" s="24">
        <v>3000</v>
      </c>
      <c r="K78" s="24">
        <v>13.95</v>
      </c>
      <c r="L78" s="24">
        <v>3000</v>
      </c>
      <c r="M78" s="24">
        <v>41850</v>
      </c>
      <c r="N78" s="26" t="s">
        <v>50</v>
      </c>
      <c r="O78" s="26">
        <v>46261</v>
      </c>
      <c r="P78" s="26"/>
      <c r="Q78" s="26"/>
      <c r="R78" s="26"/>
      <c r="S78" s="26"/>
      <c r="T78" s="32">
        <f ca="1" t="shared" si="27"/>
        <v>3</v>
      </c>
      <c r="U78" s="44">
        <v>46258</v>
      </c>
      <c r="XEV78" s="37"/>
      <c r="XEW78" s="38"/>
      <c r="XEX78" s="39"/>
      <c r="XEY78" s="39"/>
      <c r="XEZ78" s="40"/>
      <c r="XFA78" s="24"/>
      <c r="XFB78" s="25"/>
      <c r="XFC78" s="26"/>
      <c r="XFD78" s="26"/>
    </row>
    <row r="79" s="1" customFormat="1" ht="14.1" customHeight="1" spans="1:25 16376:16384">
      <c r="A79" s="24" t="s">
        <v>245</v>
      </c>
      <c r="B79" s="25">
        <v>46252</v>
      </c>
      <c r="C79" s="26">
        <v>9500227628</v>
      </c>
      <c r="D79" s="26">
        <v>46247</v>
      </c>
      <c r="E79" s="27" t="s">
        <v>174</v>
      </c>
      <c r="F79" s="28" t="s">
        <v>175</v>
      </c>
      <c r="G79" s="24" t="s">
        <v>42</v>
      </c>
      <c r="H79" s="29">
        <v>2112453</v>
      </c>
      <c r="I79" s="29" t="s">
        <v>246</v>
      </c>
      <c r="J79" s="24">
        <v>3000</v>
      </c>
      <c r="K79" s="24">
        <v>14.5</v>
      </c>
      <c r="L79" s="24">
        <v>3000</v>
      </c>
      <c r="M79" s="24">
        <v>43500</v>
      </c>
      <c r="N79" s="26" t="s">
        <v>70</v>
      </c>
      <c r="O79" s="26"/>
      <c r="P79" s="26"/>
      <c r="Q79" s="26"/>
      <c r="R79" s="26"/>
      <c r="S79" s="26"/>
      <c r="T79" s="32">
        <f ca="1" t="shared" ref="T79:T107" si="28">TODAY()-B79</f>
        <v>9</v>
      </c>
      <c r="XEV79" s="37"/>
      <c r="XEW79" s="38"/>
      <c r="XEX79" s="39"/>
      <c r="XEY79" s="39"/>
      <c r="XEZ79" s="40"/>
      <c r="XFA79" s="24"/>
      <c r="XFB79" s="25"/>
      <c r="XFC79" s="26"/>
      <c r="XFD79" s="26"/>
    </row>
    <row r="80" s="1" customFormat="1" ht="14.1" customHeight="1" spans="1:25 16376:16384">
      <c r="A80" s="24" t="s">
        <v>247</v>
      </c>
      <c r="B80" s="25">
        <v>46252</v>
      </c>
      <c r="C80" s="26">
        <v>9500227836</v>
      </c>
      <c r="D80" s="26">
        <v>46248</v>
      </c>
      <c r="E80" s="27" t="s">
        <v>27</v>
      </c>
      <c r="F80" s="28" t="s">
        <v>28</v>
      </c>
      <c r="G80" s="24" t="s">
        <v>42</v>
      </c>
      <c r="H80" s="29">
        <v>2104884</v>
      </c>
      <c r="I80" s="29" t="s">
        <v>248</v>
      </c>
      <c r="J80" s="24">
        <v>3500</v>
      </c>
      <c r="K80" s="24">
        <v>8</v>
      </c>
      <c r="L80" s="24">
        <v>3500</v>
      </c>
      <c r="M80" s="24">
        <v>28000</v>
      </c>
      <c r="N80" s="26" t="s">
        <v>249</v>
      </c>
      <c r="O80" s="26"/>
      <c r="P80" s="26"/>
      <c r="Q80" s="26"/>
      <c r="R80" s="26"/>
      <c r="S80" s="26"/>
      <c r="T80" s="32">
        <f ca="1">TODAY()-U80</f>
        <v>2</v>
      </c>
      <c r="U80" s="44">
        <v>46259</v>
      </c>
      <c r="XEV80" s="37"/>
      <c r="XEW80" s="38"/>
      <c r="XEX80" s="39"/>
      <c r="XEY80" s="39"/>
      <c r="XEZ80" s="40"/>
      <c r="XFA80" s="24"/>
      <c r="XFB80" s="25"/>
      <c r="XFC80" s="26"/>
      <c r="XFD80" s="26"/>
    </row>
    <row r="81" s="1" customFormat="1" ht="14.1" customHeight="1" spans="1:21 16376:16384">
      <c r="A81" s="24" t="s">
        <v>250</v>
      </c>
      <c r="B81" s="25">
        <v>46252</v>
      </c>
      <c r="C81" s="26">
        <v>9500227836</v>
      </c>
      <c r="D81" s="26">
        <v>46248</v>
      </c>
      <c r="E81" s="27" t="s">
        <v>27</v>
      </c>
      <c r="F81" s="28" t="s">
        <v>28</v>
      </c>
      <c r="G81" s="24" t="s">
        <v>42</v>
      </c>
      <c r="H81" s="29">
        <v>2104885</v>
      </c>
      <c r="I81" s="29" t="s">
        <v>251</v>
      </c>
      <c r="J81" s="24">
        <v>3500</v>
      </c>
      <c r="K81" s="24">
        <v>8</v>
      </c>
      <c r="L81" s="24">
        <v>3500</v>
      </c>
      <c r="M81" s="24">
        <v>28000</v>
      </c>
      <c r="N81" s="26" t="s">
        <v>249</v>
      </c>
      <c r="O81" s="26"/>
      <c r="P81" s="26"/>
      <c r="Q81" s="26"/>
      <c r="R81" s="26"/>
      <c r="S81" s="26"/>
      <c r="T81" s="32">
        <f ca="1">TODAY()-U81</f>
        <v>2</v>
      </c>
      <c r="U81" s="44">
        <v>46259</v>
      </c>
      <c r="XEV81" s="37"/>
      <c r="XEW81" s="38"/>
      <c r="XEX81" s="39"/>
      <c r="XEY81" s="39"/>
      <c r="XEZ81" s="40"/>
      <c r="XFA81" s="24"/>
      <c r="XFB81" s="25"/>
      <c r="XFC81" s="26"/>
      <c r="XFD81" s="26"/>
    </row>
    <row r="82" s="1" customFormat="1" ht="14.1" customHeight="1" spans="1:21 16376:16384">
      <c r="A82" s="24" t="s">
        <v>252</v>
      </c>
      <c r="B82" s="25">
        <v>46252</v>
      </c>
      <c r="C82" s="26">
        <v>9500227740</v>
      </c>
      <c r="D82" s="26">
        <v>46248</v>
      </c>
      <c r="E82" s="27" t="s">
        <v>27</v>
      </c>
      <c r="F82" s="28" t="s">
        <v>28</v>
      </c>
      <c r="G82" s="24" t="s">
        <v>29</v>
      </c>
      <c r="H82" s="29">
        <v>2111051</v>
      </c>
      <c r="I82" s="29" t="s">
        <v>253</v>
      </c>
      <c r="J82" s="24">
        <v>6000</v>
      </c>
      <c r="K82" s="24">
        <v>5.25</v>
      </c>
      <c r="L82" s="24">
        <v>6000</v>
      </c>
      <c r="M82" s="24">
        <v>31500</v>
      </c>
      <c r="N82" s="26" t="s">
        <v>59</v>
      </c>
      <c r="O82" s="26">
        <v>46255</v>
      </c>
      <c r="P82" s="26">
        <v>46256</v>
      </c>
      <c r="Q82" s="26"/>
      <c r="R82" s="26"/>
      <c r="S82" s="31">
        <v>46263</v>
      </c>
      <c r="T82" s="32">
        <f ca="1" t="shared" si="28"/>
        <v>9</v>
      </c>
      <c r="XEV82" s="37"/>
      <c r="XEW82" s="38"/>
      <c r="XEX82" s="39"/>
      <c r="XEY82" s="39"/>
      <c r="XEZ82" s="40"/>
      <c r="XFA82" s="24"/>
      <c r="XFB82" s="25"/>
      <c r="XFC82" s="26"/>
      <c r="XFD82" s="26"/>
    </row>
    <row r="83" s="1" customFormat="1" ht="14.1" customHeight="1" spans="1:21 16376:16384">
      <c r="A83" s="24" t="s">
        <v>254</v>
      </c>
      <c r="B83" s="25">
        <v>46252</v>
      </c>
      <c r="C83" s="26">
        <v>2142606374</v>
      </c>
      <c r="D83" s="26">
        <v>46251</v>
      </c>
      <c r="E83" s="27" t="s">
        <v>255</v>
      </c>
      <c r="F83" s="28" t="s">
        <v>256</v>
      </c>
      <c r="G83" s="24" t="s">
        <v>29</v>
      </c>
      <c r="H83" s="29" t="s">
        <v>257</v>
      </c>
      <c r="I83" s="29" t="s">
        <v>258</v>
      </c>
      <c r="J83" s="24">
        <v>3090</v>
      </c>
      <c r="K83" s="24">
        <v>8.5</v>
      </c>
      <c r="L83" s="24">
        <v>3090</v>
      </c>
      <c r="M83" s="24">
        <v>26265</v>
      </c>
      <c r="N83" s="26" t="s">
        <v>59</v>
      </c>
      <c r="O83" s="26">
        <v>46255</v>
      </c>
      <c r="P83" s="26">
        <v>46256</v>
      </c>
      <c r="Q83" s="26"/>
      <c r="R83" s="26"/>
      <c r="S83" s="26"/>
      <c r="T83" s="32">
        <f ca="1" t="shared" si="28"/>
        <v>9</v>
      </c>
      <c r="XEV83" s="37"/>
      <c r="XEW83" s="38"/>
      <c r="XEX83" s="39"/>
      <c r="XEY83" s="39"/>
      <c r="XEZ83" s="40"/>
      <c r="XFA83" s="24"/>
      <c r="XFB83" s="25"/>
      <c r="XFC83" s="26"/>
      <c r="XFD83" s="26"/>
    </row>
    <row r="84" s="1" customFormat="1" ht="14.1" customHeight="1" spans="1:21 16376:16384">
      <c r="A84" s="24" t="s">
        <v>259</v>
      </c>
      <c r="B84" s="25">
        <v>46254</v>
      </c>
      <c r="C84" s="26">
        <v>9500228176</v>
      </c>
      <c r="D84" s="26">
        <v>46251</v>
      </c>
      <c r="E84" s="27" t="s">
        <v>174</v>
      </c>
      <c r="F84" s="28" t="s">
        <v>175</v>
      </c>
      <c r="G84" s="24" t="s">
        <v>29</v>
      </c>
      <c r="H84" s="29">
        <v>2085274</v>
      </c>
      <c r="I84" s="29" t="s">
        <v>260</v>
      </c>
      <c r="J84" s="24">
        <v>3000</v>
      </c>
      <c r="K84" s="24">
        <v>6.65</v>
      </c>
      <c r="L84" s="24">
        <v>3000</v>
      </c>
      <c r="M84" s="24">
        <v>19950</v>
      </c>
      <c r="N84" s="26" t="s">
        <v>59</v>
      </c>
      <c r="O84" s="26">
        <v>46255</v>
      </c>
      <c r="P84" s="26">
        <v>46256</v>
      </c>
      <c r="Q84" s="26"/>
      <c r="R84" s="26"/>
      <c r="S84" s="26"/>
      <c r="T84" s="32">
        <f ca="1" t="shared" si="28"/>
        <v>7</v>
      </c>
      <c r="XEV84" s="37"/>
      <c r="XEW84" s="38"/>
      <c r="XEX84" s="39"/>
      <c r="XEY84" s="39"/>
      <c r="XEZ84" s="40"/>
      <c r="XFA84" s="24"/>
      <c r="XFB84" s="25"/>
      <c r="XFC84" s="26"/>
      <c r="XFD84" s="26"/>
    </row>
    <row r="85" s="1" customFormat="1" ht="14.1" customHeight="1" spans="1:21 16376:16384">
      <c r="A85" s="24" t="s">
        <v>261</v>
      </c>
      <c r="B85" s="25">
        <v>46254</v>
      </c>
      <c r="C85" s="26" t="s">
        <v>262</v>
      </c>
      <c r="D85" s="26">
        <v>46254</v>
      </c>
      <c r="E85" s="27" t="s">
        <v>263</v>
      </c>
      <c r="F85" s="41" t="s">
        <v>264</v>
      </c>
      <c r="G85" s="24" t="s">
        <v>42</v>
      </c>
      <c r="H85" s="29" t="s">
        <v>265</v>
      </c>
      <c r="I85" s="29" t="s">
        <v>266</v>
      </c>
      <c r="J85" s="24">
        <v>25000</v>
      </c>
      <c r="K85" s="24">
        <v>4.2</v>
      </c>
      <c r="L85" s="24">
        <v>25000</v>
      </c>
      <c r="M85" s="24">
        <v>105000</v>
      </c>
      <c r="N85" s="26" t="s">
        <v>267</v>
      </c>
      <c r="O85" s="26">
        <v>46259</v>
      </c>
      <c r="P85" s="26"/>
      <c r="Q85" s="26"/>
      <c r="R85" s="26"/>
      <c r="S85" s="26"/>
      <c r="T85" s="32">
        <f ca="1" t="shared" si="28"/>
        <v>7</v>
      </c>
      <c r="XEV85" s="37"/>
      <c r="XEW85" s="38"/>
      <c r="XEX85" s="39"/>
      <c r="XEY85" s="39"/>
      <c r="XEZ85" s="40"/>
      <c r="XFA85" s="24"/>
      <c r="XFB85" s="25"/>
      <c r="XFC85" s="26"/>
      <c r="XFD85" s="26"/>
    </row>
    <row r="86" s="1" customFormat="1" ht="14.1" customHeight="1" spans="1:21 16376:16384">
      <c r="A86" s="24" t="s">
        <v>268</v>
      </c>
      <c r="B86" s="25">
        <v>46254</v>
      </c>
      <c r="C86" s="26">
        <v>242612336</v>
      </c>
      <c r="D86" s="26">
        <v>46253</v>
      </c>
      <c r="E86" s="27" t="s">
        <v>269</v>
      </c>
      <c r="F86" s="41" t="s">
        <v>270</v>
      </c>
      <c r="G86" s="24" t="s">
        <v>29</v>
      </c>
      <c r="H86" s="29" t="s">
        <v>271</v>
      </c>
      <c r="I86" s="29" t="s">
        <v>272</v>
      </c>
      <c r="J86" s="24">
        <v>52000</v>
      </c>
      <c r="K86" s="24">
        <v>3.15</v>
      </c>
      <c r="L86" s="24">
        <v>52000</v>
      </c>
      <c r="M86" s="24">
        <v>163800</v>
      </c>
      <c r="N86" s="26" t="s">
        <v>107</v>
      </c>
      <c r="O86" s="26">
        <v>46255</v>
      </c>
      <c r="P86" s="26">
        <v>46256</v>
      </c>
      <c r="Q86" s="26">
        <v>46260</v>
      </c>
      <c r="R86" s="26"/>
      <c r="S86" s="26"/>
      <c r="T86" s="32">
        <f ca="1" t="shared" si="28"/>
        <v>7</v>
      </c>
      <c r="XEV86" s="37"/>
      <c r="XEW86" s="38"/>
      <c r="XEX86" s="39"/>
      <c r="XEY86" s="39"/>
      <c r="XEZ86" s="40"/>
      <c r="XFA86" s="24"/>
      <c r="XFB86" s="25"/>
      <c r="XFC86" s="26"/>
      <c r="XFD86" s="26"/>
    </row>
    <row r="87" s="1" customFormat="1" ht="14.1" customHeight="1" spans="1:21 16376:16384">
      <c r="A87" s="24" t="s">
        <v>273</v>
      </c>
      <c r="B87" s="25">
        <v>46254</v>
      </c>
      <c r="C87" s="26">
        <v>242612336</v>
      </c>
      <c r="D87" s="26">
        <v>46253</v>
      </c>
      <c r="E87" s="27" t="s">
        <v>269</v>
      </c>
      <c r="F87" s="28" t="s">
        <v>270</v>
      </c>
      <c r="G87" s="24" t="s">
        <v>29</v>
      </c>
      <c r="H87" s="29" t="s">
        <v>274</v>
      </c>
      <c r="I87" s="29" t="s">
        <v>275</v>
      </c>
      <c r="J87" s="24">
        <v>4783</v>
      </c>
      <c r="K87" s="24">
        <v>8.5</v>
      </c>
      <c r="L87" s="24">
        <v>4783</v>
      </c>
      <c r="M87" s="24">
        <v>40655.5</v>
      </c>
      <c r="N87" s="26" t="s">
        <v>59</v>
      </c>
      <c r="O87" s="26">
        <v>46255</v>
      </c>
      <c r="P87" s="26">
        <v>46256</v>
      </c>
      <c r="Q87" s="26"/>
      <c r="R87" s="26"/>
      <c r="S87" s="26"/>
      <c r="T87" s="32">
        <f ca="1" t="shared" si="28"/>
        <v>7</v>
      </c>
      <c r="XEV87" s="37"/>
      <c r="XEW87" s="38"/>
      <c r="XEX87" s="39"/>
      <c r="XEY87" s="39"/>
      <c r="XEZ87" s="40"/>
      <c r="XFA87" s="24"/>
      <c r="XFB87" s="25"/>
      <c r="XFC87" s="26"/>
      <c r="XFD87" s="26"/>
    </row>
    <row r="88" s="1" customFormat="1" ht="14.1" customHeight="1" spans="1:21 16376:16384">
      <c r="A88" s="24" t="s">
        <v>276</v>
      </c>
      <c r="B88" s="25">
        <v>46254</v>
      </c>
      <c r="C88" s="26">
        <v>242612336</v>
      </c>
      <c r="D88" s="26">
        <v>46253</v>
      </c>
      <c r="E88" s="27" t="s">
        <v>269</v>
      </c>
      <c r="F88" s="41" t="s">
        <v>270</v>
      </c>
      <c r="G88" s="24" t="s">
        <v>29</v>
      </c>
      <c r="H88" s="29" t="s">
        <v>277</v>
      </c>
      <c r="I88" s="29" t="s">
        <v>278</v>
      </c>
      <c r="J88" s="24">
        <v>4813</v>
      </c>
      <c r="K88" s="24">
        <v>8.5</v>
      </c>
      <c r="L88" s="24">
        <v>4813</v>
      </c>
      <c r="M88" s="24">
        <v>40910.5</v>
      </c>
      <c r="N88" s="26" t="s">
        <v>59</v>
      </c>
      <c r="O88" s="26">
        <v>46255</v>
      </c>
      <c r="P88" s="26">
        <v>46256</v>
      </c>
      <c r="Q88" s="26"/>
      <c r="R88" s="26"/>
      <c r="S88" s="26"/>
      <c r="T88" s="32">
        <f ca="1" t="shared" si="28"/>
        <v>7</v>
      </c>
      <c r="XEV88" s="37"/>
      <c r="XEW88" s="38"/>
      <c r="XEX88" s="39"/>
      <c r="XEY88" s="39"/>
      <c r="XEZ88" s="40"/>
      <c r="XFA88" s="24"/>
      <c r="XFB88" s="25"/>
      <c r="XFC88" s="26"/>
      <c r="XFD88" s="26"/>
    </row>
    <row r="89" s="1" customFormat="1" ht="14.1" customHeight="1" spans="1:21 16376:16384">
      <c r="A89" s="24" t="s">
        <v>279</v>
      </c>
      <c r="B89" s="25">
        <v>46254</v>
      </c>
      <c r="C89" s="26">
        <v>111043970</v>
      </c>
      <c r="D89" s="26">
        <v>46253</v>
      </c>
      <c r="E89" s="27" t="s">
        <v>121</v>
      </c>
      <c r="F89" s="28" t="s">
        <v>141</v>
      </c>
      <c r="G89" s="24" t="s">
        <v>29</v>
      </c>
      <c r="H89" s="29">
        <v>113006603</v>
      </c>
      <c r="I89" s="29" t="s">
        <v>280</v>
      </c>
      <c r="J89" s="24">
        <v>206300</v>
      </c>
      <c r="K89" s="24">
        <v>1.15</v>
      </c>
      <c r="L89" s="24">
        <v>206300</v>
      </c>
      <c r="M89" s="24">
        <v>237245</v>
      </c>
      <c r="N89" s="26" t="s">
        <v>70</v>
      </c>
      <c r="O89" s="26">
        <v>46255</v>
      </c>
      <c r="P89" s="26"/>
      <c r="Q89" s="26"/>
      <c r="R89" s="26"/>
      <c r="S89" s="26"/>
      <c r="T89" s="32">
        <f ca="1" t="shared" si="28"/>
        <v>7</v>
      </c>
      <c r="XEV89" s="37"/>
      <c r="XEW89" s="38"/>
      <c r="XEX89" s="39"/>
      <c r="XEY89" s="39"/>
      <c r="XEZ89" s="40"/>
      <c r="XFA89" s="24"/>
      <c r="XFB89" s="25"/>
      <c r="XFC89" s="26"/>
      <c r="XFD89" s="26"/>
    </row>
    <row r="90" s="1" customFormat="1" ht="14.1" customHeight="1" spans="1:21 16376:16384">
      <c r="A90" s="24" t="s">
        <v>281</v>
      </c>
      <c r="B90" s="25">
        <v>46254</v>
      </c>
      <c r="C90" s="26">
        <v>111043970</v>
      </c>
      <c r="D90" s="26">
        <v>46253</v>
      </c>
      <c r="E90" s="27" t="s">
        <v>121</v>
      </c>
      <c r="F90" s="28" t="s">
        <v>141</v>
      </c>
      <c r="G90" s="24" t="s">
        <v>29</v>
      </c>
      <c r="H90" s="29">
        <v>113012354</v>
      </c>
      <c r="I90" s="29" t="s">
        <v>282</v>
      </c>
      <c r="J90" s="24">
        <v>5500</v>
      </c>
      <c r="K90" s="24">
        <v>3.65</v>
      </c>
      <c r="L90" s="24">
        <v>5500</v>
      </c>
      <c r="M90" s="24">
        <v>20075</v>
      </c>
      <c r="N90" s="26" t="s">
        <v>59</v>
      </c>
      <c r="O90" s="26">
        <v>46255</v>
      </c>
      <c r="P90" s="26">
        <v>46256</v>
      </c>
      <c r="Q90" s="26"/>
      <c r="R90" s="26"/>
      <c r="S90" s="26"/>
      <c r="T90" s="32">
        <f ca="1" t="shared" si="28"/>
        <v>7</v>
      </c>
      <c r="XEV90" s="37"/>
      <c r="XEW90" s="38"/>
      <c r="XEX90" s="39"/>
      <c r="XEY90" s="39"/>
      <c r="XEZ90" s="40"/>
      <c r="XFA90" s="24"/>
      <c r="XFB90" s="25"/>
      <c r="XFC90" s="26"/>
      <c r="XFD90" s="26"/>
    </row>
    <row r="91" s="1" customFormat="1" ht="14.1" customHeight="1" spans="1:21 16376:16384">
      <c r="A91" s="24" t="s">
        <v>283</v>
      </c>
      <c r="B91" s="25">
        <v>46254</v>
      </c>
      <c r="C91" s="26">
        <v>111043970</v>
      </c>
      <c r="D91" s="26">
        <v>46253</v>
      </c>
      <c r="E91" s="27" t="s">
        <v>121</v>
      </c>
      <c r="F91" s="28" t="s">
        <v>141</v>
      </c>
      <c r="G91" s="24" t="s">
        <v>29</v>
      </c>
      <c r="H91" s="29">
        <v>113014538</v>
      </c>
      <c r="I91" s="29" t="s">
        <v>284</v>
      </c>
      <c r="J91" s="24">
        <v>5300</v>
      </c>
      <c r="K91" s="24">
        <v>8.3</v>
      </c>
      <c r="L91" s="24">
        <v>5300</v>
      </c>
      <c r="M91" s="24">
        <v>43990</v>
      </c>
      <c r="N91" s="26" t="s">
        <v>70</v>
      </c>
      <c r="O91" s="26">
        <v>46255</v>
      </c>
      <c r="P91" s="26">
        <v>46256</v>
      </c>
      <c r="Q91" s="26"/>
      <c r="R91" s="26"/>
      <c r="S91" s="26"/>
      <c r="T91" s="32">
        <f ca="1" t="shared" si="28"/>
        <v>7</v>
      </c>
      <c r="XEV91" s="37"/>
      <c r="XEW91" s="38"/>
      <c r="XEX91" s="39"/>
      <c r="XEY91" s="39"/>
      <c r="XEZ91" s="40"/>
      <c r="XFA91" s="24"/>
      <c r="XFB91" s="25"/>
      <c r="XFC91" s="26"/>
      <c r="XFD91" s="26"/>
    </row>
    <row r="92" s="1" customFormat="1" ht="14.1" customHeight="1" spans="1:21 16376:16384">
      <c r="A92" s="24" t="s">
        <v>285</v>
      </c>
      <c r="B92" s="25">
        <v>46254</v>
      </c>
      <c r="C92" s="26">
        <v>111043905</v>
      </c>
      <c r="D92" s="26">
        <v>46252</v>
      </c>
      <c r="E92" s="27" t="s">
        <v>121</v>
      </c>
      <c r="F92" s="28" t="s">
        <v>141</v>
      </c>
      <c r="G92" s="24" t="s">
        <v>29</v>
      </c>
      <c r="H92" s="29">
        <v>113011362</v>
      </c>
      <c r="I92" s="29" t="s">
        <v>286</v>
      </c>
      <c r="J92" s="24">
        <v>7000</v>
      </c>
      <c r="K92" s="24">
        <v>1.7</v>
      </c>
      <c r="L92" s="24">
        <v>7000</v>
      </c>
      <c r="M92" s="24">
        <v>11900</v>
      </c>
      <c r="N92" s="26" t="s">
        <v>59</v>
      </c>
      <c r="O92" s="26">
        <v>46255</v>
      </c>
      <c r="P92" s="26">
        <v>46256</v>
      </c>
      <c r="Q92" s="26"/>
      <c r="R92" s="26"/>
      <c r="S92" s="26"/>
      <c r="T92" s="32">
        <f ca="1" t="shared" si="28"/>
        <v>7</v>
      </c>
      <c r="XEV92" s="37"/>
      <c r="XEW92" s="38"/>
      <c r="XEX92" s="39"/>
      <c r="XEY92" s="39"/>
      <c r="XEZ92" s="40"/>
      <c r="XFA92" s="24"/>
      <c r="XFB92" s="25"/>
      <c r="XFC92" s="26"/>
      <c r="XFD92" s="26"/>
    </row>
    <row r="93" s="1" customFormat="1" ht="14.1" customHeight="1" spans="1:21 16376:16384">
      <c r="A93" s="24" t="s">
        <v>287</v>
      </c>
      <c r="B93" s="25">
        <v>46254</v>
      </c>
      <c r="C93" s="26">
        <v>8110001653</v>
      </c>
      <c r="D93" s="26">
        <v>46254</v>
      </c>
      <c r="E93" s="27" t="s">
        <v>121</v>
      </c>
      <c r="F93" s="41" t="s">
        <v>85</v>
      </c>
      <c r="G93" s="24" t="s">
        <v>29</v>
      </c>
      <c r="H93" s="29">
        <v>1051130</v>
      </c>
      <c r="I93" s="29" t="s">
        <v>288</v>
      </c>
      <c r="J93" s="24">
        <v>31000</v>
      </c>
      <c r="K93" s="24">
        <v>4.31</v>
      </c>
      <c r="L93" s="24">
        <v>31000</v>
      </c>
      <c r="M93" s="24">
        <v>133610</v>
      </c>
      <c r="N93" s="26" t="s">
        <v>50</v>
      </c>
      <c r="O93" s="26">
        <v>46255</v>
      </c>
      <c r="P93" s="26"/>
      <c r="Q93" s="26"/>
      <c r="R93" s="26"/>
      <c r="S93" s="26"/>
      <c r="T93" s="32">
        <f ca="1" t="shared" si="28"/>
        <v>7</v>
      </c>
      <c r="XEV93" s="37"/>
      <c r="XEW93" s="38"/>
      <c r="XEX93" s="39"/>
      <c r="XEY93" s="39"/>
      <c r="XEZ93" s="40"/>
      <c r="XFA93" s="24"/>
      <c r="XFB93" s="25"/>
      <c r="XFC93" s="26"/>
      <c r="XFD93" s="26"/>
    </row>
    <row r="94" s="1" customFormat="1" ht="14.1" customHeight="1" spans="1:21 16376:16384">
      <c r="A94" s="24" t="s">
        <v>289</v>
      </c>
      <c r="B94" s="25">
        <v>46255</v>
      </c>
      <c r="C94" s="26">
        <v>4510212564</v>
      </c>
      <c r="D94" s="26">
        <v>46254</v>
      </c>
      <c r="E94" s="27" t="s">
        <v>47</v>
      </c>
      <c r="F94" s="28" t="s">
        <v>48</v>
      </c>
      <c r="G94" s="24" t="s">
        <v>29</v>
      </c>
      <c r="H94" s="29">
        <v>1229366</v>
      </c>
      <c r="I94" s="29" t="s">
        <v>290</v>
      </c>
      <c r="J94" s="24">
        <v>5500</v>
      </c>
      <c r="K94" s="24">
        <v>3.37456</v>
      </c>
      <c r="L94" s="24">
        <v>5500</v>
      </c>
      <c r="M94" s="24">
        <v>18560.08</v>
      </c>
      <c r="N94" s="26" t="s">
        <v>59</v>
      </c>
      <c r="O94" s="26">
        <v>46258</v>
      </c>
      <c r="P94" s="26">
        <v>46259</v>
      </c>
      <c r="Q94" s="26"/>
      <c r="R94" s="3"/>
      <c r="T94" s="32">
        <f ca="1" t="shared" si="28"/>
        <v>6</v>
      </c>
      <c r="XEV94" s="37"/>
      <c r="XEW94" s="38"/>
      <c r="XEX94" s="39"/>
      <c r="XEY94" s="39"/>
      <c r="XEZ94" s="40"/>
      <c r="XFA94" s="24"/>
      <c r="XFB94" s="25"/>
      <c r="XFC94" s="26"/>
      <c r="XFD94" s="26"/>
    </row>
    <row r="95" s="1" customFormat="1" ht="14.1" customHeight="1" spans="1:21 16376:16384">
      <c r="A95" s="24" t="s">
        <v>291</v>
      </c>
      <c r="B95" s="25">
        <v>46255</v>
      </c>
      <c r="C95" s="26">
        <v>9500228184</v>
      </c>
      <c r="D95" s="26">
        <v>46251</v>
      </c>
      <c r="E95" s="27" t="s">
        <v>52</v>
      </c>
      <c r="F95" s="28" t="s">
        <v>53</v>
      </c>
      <c r="G95" s="24" t="s">
        <v>29</v>
      </c>
      <c r="H95" s="29">
        <v>2094162</v>
      </c>
      <c r="I95" s="29" t="s">
        <v>292</v>
      </c>
      <c r="J95" s="24">
        <v>85000</v>
      </c>
      <c r="K95" s="24">
        <v>2.45</v>
      </c>
      <c r="L95" s="24">
        <v>85000</v>
      </c>
      <c r="M95" s="24">
        <v>208250</v>
      </c>
      <c r="N95" s="26" t="s">
        <v>59</v>
      </c>
      <c r="O95" s="26">
        <v>46258</v>
      </c>
      <c r="P95" s="26">
        <v>46259</v>
      </c>
      <c r="Q95" s="26"/>
      <c r="R95" s="3"/>
      <c r="T95" s="32">
        <f ca="1" t="shared" si="28"/>
        <v>6</v>
      </c>
      <c r="XEV95" s="37"/>
      <c r="XEW95" s="38"/>
      <c r="XEX95" s="39"/>
      <c r="XEY95" s="39"/>
      <c r="XEZ95" s="40"/>
      <c r="XFA95" s="24"/>
      <c r="XFB95" s="25"/>
      <c r="XFC95" s="26"/>
      <c r="XFD95" s="26"/>
    </row>
    <row r="96" s="1" customFormat="1" ht="14.1" customHeight="1" spans="1:21 16376:16384">
      <c r="A96" s="24" t="s">
        <v>293</v>
      </c>
      <c r="B96" s="25">
        <v>46255</v>
      </c>
      <c r="C96" s="26">
        <v>9500228184</v>
      </c>
      <c r="D96" s="26">
        <v>46251</v>
      </c>
      <c r="E96" s="27" t="s">
        <v>52</v>
      </c>
      <c r="F96" s="28" t="s">
        <v>53</v>
      </c>
      <c r="G96" s="24" t="s">
        <v>29</v>
      </c>
      <c r="H96" s="29">
        <v>2094165</v>
      </c>
      <c r="I96" s="29" t="s">
        <v>294</v>
      </c>
      <c r="J96" s="24">
        <v>115000</v>
      </c>
      <c r="K96" s="24">
        <v>2.35</v>
      </c>
      <c r="L96" s="24">
        <v>115000</v>
      </c>
      <c r="M96" s="24">
        <v>270250</v>
      </c>
      <c r="N96" s="26" t="s">
        <v>50</v>
      </c>
      <c r="O96" s="26">
        <v>46258</v>
      </c>
      <c r="P96" s="26"/>
      <c r="Q96" s="26"/>
      <c r="R96" s="3"/>
      <c r="T96" s="32">
        <f ca="1" t="shared" si="28"/>
        <v>6</v>
      </c>
      <c r="XEV96" s="37"/>
      <c r="XEW96" s="38"/>
      <c r="XEX96" s="39"/>
      <c r="XEY96" s="39"/>
      <c r="XEZ96" s="40"/>
      <c r="XFA96" s="24"/>
      <c r="XFB96" s="25"/>
      <c r="XFC96" s="26"/>
      <c r="XFD96" s="26"/>
    </row>
    <row r="97" s="1" customFormat="1" ht="14.1" customHeight="1" spans="1:20 16374:16384">
      <c r="A97" s="24" t="s">
        <v>295</v>
      </c>
      <c r="B97" s="25">
        <v>46255</v>
      </c>
      <c r="C97" s="26">
        <v>9500228291</v>
      </c>
      <c r="D97" s="26">
        <v>46252</v>
      </c>
      <c r="E97" s="27" t="s">
        <v>174</v>
      </c>
      <c r="F97" s="28" t="s">
        <v>296</v>
      </c>
      <c r="G97" s="24" t="s">
        <v>29</v>
      </c>
      <c r="H97" s="29">
        <v>2062322</v>
      </c>
      <c r="I97" s="29" t="s">
        <v>297</v>
      </c>
      <c r="J97" s="24">
        <v>2000</v>
      </c>
      <c r="K97" s="24">
        <v>7.3</v>
      </c>
      <c r="L97" s="24">
        <v>2000</v>
      </c>
      <c r="M97" s="24">
        <v>14600</v>
      </c>
      <c r="N97" s="26" t="s">
        <v>59</v>
      </c>
      <c r="O97" s="26">
        <v>46258</v>
      </c>
      <c r="P97" s="26">
        <v>46259</v>
      </c>
      <c r="Q97" s="26"/>
      <c r="R97" s="3"/>
      <c r="T97" s="32">
        <f ca="1" t="shared" si="28"/>
        <v>6</v>
      </c>
      <c r="XEV97" s="37"/>
      <c r="XEW97" s="38"/>
      <c r="XEX97" s="39"/>
      <c r="XEY97" s="39"/>
      <c r="XEZ97" s="40"/>
      <c r="XFA97" s="24"/>
      <c r="XFB97" s="25"/>
      <c r="XFC97" s="26"/>
      <c r="XFD97" s="26"/>
    </row>
    <row r="98" s="1" customFormat="1" ht="14.1" customHeight="1" spans="1:20 16374:16384">
      <c r="A98" s="24" t="s">
        <v>298</v>
      </c>
      <c r="B98" s="25">
        <v>46255</v>
      </c>
      <c r="C98" s="26" t="s">
        <v>199</v>
      </c>
      <c r="D98" s="26">
        <v>46252</v>
      </c>
      <c r="E98" s="27" t="s">
        <v>174</v>
      </c>
      <c r="F98" s="41" t="s">
        <v>296</v>
      </c>
      <c r="G98" s="24" t="s">
        <v>29</v>
      </c>
      <c r="H98" s="29">
        <v>2058434</v>
      </c>
      <c r="I98" s="29" t="s">
        <v>299</v>
      </c>
      <c r="J98" s="24">
        <v>7000</v>
      </c>
      <c r="K98" s="24">
        <v>4</v>
      </c>
      <c r="L98" s="24">
        <v>7000</v>
      </c>
      <c r="M98" s="24">
        <v>28000</v>
      </c>
      <c r="N98" s="26" t="s">
        <v>59</v>
      </c>
      <c r="O98" s="26">
        <v>46258</v>
      </c>
      <c r="P98" s="26">
        <v>46259</v>
      </c>
      <c r="Q98" s="26"/>
      <c r="R98" s="3"/>
      <c r="T98" s="32">
        <f ca="1" t="shared" si="28"/>
        <v>6</v>
      </c>
      <c r="XEV98" s="37"/>
      <c r="XEW98" s="38"/>
      <c r="XEX98" s="39"/>
      <c r="XEY98" s="39"/>
      <c r="XEZ98" s="40"/>
      <c r="XFA98" s="24"/>
      <c r="XFB98" s="25"/>
      <c r="XFC98" s="26"/>
      <c r="XFD98" s="26"/>
    </row>
    <row r="99" s="1" customFormat="1" ht="14.1" customHeight="1" spans="1:20 16374:16384">
      <c r="A99" s="24" t="s">
        <v>300</v>
      </c>
      <c r="B99" s="25">
        <v>46259</v>
      </c>
      <c r="C99" s="26">
        <v>9500229132</v>
      </c>
      <c r="D99" s="26">
        <v>46254</v>
      </c>
      <c r="E99" s="27" t="s">
        <v>174</v>
      </c>
      <c r="F99" s="28" t="s">
        <v>175</v>
      </c>
      <c r="G99" s="24" t="s">
        <v>29</v>
      </c>
      <c r="H99" s="29">
        <v>2074397</v>
      </c>
      <c r="I99" s="29" t="s">
        <v>301</v>
      </c>
      <c r="J99" s="24">
        <v>3000</v>
      </c>
      <c r="K99" s="24">
        <v>6.95</v>
      </c>
      <c r="L99" s="24">
        <v>3000</v>
      </c>
      <c r="M99" s="24">
        <v>20850</v>
      </c>
      <c r="N99" s="26" t="s">
        <v>50</v>
      </c>
      <c r="O99" s="26">
        <v>46261</v>
      </c>
      <c r="P99" s="26"/>
      <c r="Q99" s="26"/>
      <c r="R99" s="32"/>
      <c r="T99" s="32">
        <f ca="1" t="shared" si="28"/>
        <v>2</v>
      </c>
      <c r="XET99" s="37"/>
      <c r="XEU99" s="38"/>
      <c r="XEV99" s="39"/>
      <c r="XEW99" s="39"/>
      <c r="XEX99" s="40"/>
      <c r="XEY99" s="24"/>
      <c r="XEZ99" s="25"/>
      <c r="XFA99" s="26"/>
      <c r="XFB99" s="26"/>
      <c r="XFC99" s="24"/>
      <c r="XFD99" s="25"/>
    </row>
    <row r="100" s="1" customFormat="1" ht="14.1" customHeight="1" spans="1:20 16374:16384">
      <c r="A100" s="24" t="s">
        <v>302</v>
      </c>
      <c r="B100" s="25">
        <v>46259</v>
      </c>
      <c r="C100" s="26">
        <v>9500229386</v>
      </c>
      <c r="D100" s="26">
        <v>46256</v>
      </c>
      <c r="E100" s="27" t="s">
        <v>52</v>
      </c>
      <c r="F100" s="28" t="s">
        <v>53</v>
      </c>
      <c r="G100" s="24" t="s">
        <v>29</v>
      </c>
      <c r="H100" s="29">
        <v>2094118</v>
      </c>
      <c r="I100" s="29" t="s">
        <v>303</v>
      </c>
      <c r="J100" s="24">
        <v>340000</v>
      </c>
      <c r="K100" s="24">
        <v>1.5</v>
      </c>
      <c r="L100" s="24">
        <v>340000</v>
      </c>
      <c r="M100" s="24">
        <v>510000</v>
      </c>
      <c r="N100" s="26" t="s">
        <v>50</v>
      </c>
      <c r="O100" s="26">
        <v>46261</v>
      </c>
      <c r="P100" s="26"/>
      <c r="Q100" s="26"/>
      <c r="R100" s="32"/>
      <c r="T100" s="32">
        <f ca="1" t="shared" si="28"/>
        <v>2</v>
      </c>
      <c r="XET100" s="37"/>
      <c r="XEU100" s="38"/>
      <c r="XEV100" s="39"/>
      <c r="XEW100" s="39"/>
      <c r="XEX100" s="40"/>
      <c r="XEY100" s="24"/>
      <c r="XEZ100" s="25"/>
      <c r="XFA100" s="26"/>
      <c r="XFB100" s="26"/>
      <c r="XFC100" s="24"/>
      <c r="XFD100" s="25"/>
    </row>
    <row r="1048286" s="3" customFormat="1" customHeight="1" spans="3:22">
      <c r="C1048286" s="5"/>
      <c r="D1048286" s="5"/>
      <c r="F1048286" s="6"/>
      <c r="J1048286" s="5"/>
    </row>
    <row r="1048287" s="3" customFormat="1" customHeight="1" spans="3:22">
      <c r="C1048287" s="5"/>
      <c r="D1048287" s="5"/>
      <c r="F1048287" s="6"/>
      <c r="J1048287" s="5"/>
    </row>
    <row r="1048288" s="3" customFormat="1" customHeight="1" spans="3:22">
      <c r="C1048288" s="5"/>
      <c r="D1048288" s="5"/>
      <c r="F1048288" s="6"/>
      <c r="J1048288" s="5"/>
      <c r="V1048288" s="19"/>
    </row>
    <row r="1048289" s="3" customFormat="1" customHeight="1" spans="3:22">
      <c r="C1048289" s="5"/>
      <c r="D1048289" s="5"/>
      <c r="F1048289" s="6"/>
      <c r="J1048289" s="5"/>
      <c r="V1048289" s="45"/>
    </row>
    <row r="1048290" s="3" customFormat="1" customHeight="1" spans="3:22">
      <c r="C1048290" s="5"/>
      <c r="D1048290" s="5"/>
      <c r="F1048290" s="6"/>
      <c r="J1048290" s="5"/>
      <c r="V1048290" s="45"/>
    </row>
    <row r="1048291" s="3" customFormat="1" customHeight="1" spans="3:22">
      <c r="C1048291" s="5"/>
      <c r="D1048291" s="5"/>
      <c r="F1048291" s="6"/>
      <c r="J1048291" s="5"/>
      <c r="V1048291" s="45"/>
    </row>
    <row r="1048292" s="3" customFormat="1" customHeight="1" spans="3:22">
      <c r="C1048292" s="5"/>
      <c r="D1048292" s="5"/>
      <c r="F1048292" s="6"/>
      <c r="J1048292" s="5"/>
      <c r="V1048292" s="24"/>
    </row>
    <row r="1048293" s="3" customFormat="1" customHeight="1" spans="3:22">
      <c r="C1048293" s="5"/>
      <c r="D1048293" s="5"/>
      <c r="F1048293" s="6"/>
      <c r="J1048293" s="5"/>
      <c r="V1048293" s="46"/>
    </row>
    <row r="1048294" s="3" customFormat="1" customHeight="1" spans="3:22">
      <c r="C1048294" s="5"/>
      <c r="D1048294" s="5"/>
      <c r="F1048294" s="6"/>
      <c r="J1048294" s="5"/>
      <c r="V1048294" s="24"/>
    </row>
    <row r="1048295" s="3" customFormat="1" customHeight="1" spans="3:22">
      <c r="C1048295" s="5"/>
      <c r="D1048295" s="5"/>
      <c r="F1048295" s="6"/>
      <c r="J1048295" s="5"/>
      <c r="V1048295" s="24"/>
    </row>
    <row r="1048296" s="3" customFormat="1" customHeight="1" spans="3:22">
      <c r="C1048296" s="5"/>
      <c r="D1048296" s="5"/>
      <c r="F1048296" s="6"/>
      <c r="J1048296" s="5"/>
      <c r="V1048296" s="24"/>
    </row>
    <row r="1048297" s="3" customFormat="1" customHeight="1" spans="3:22">
      <c r="C1048297" s="5"/>
      <c r="D1048297" s="5"/>
      <c r="F1048297" s="6"/>
      <c r="J1048297" s="5"/>
      <c r="V1048297" s="24"/>
    </row>
    <row r="1048298" s="3" customFormat="1" customHeight="1" spans="3:22">
      <c r="C1048298" s="5"/>
      <c r="D1048298" s="5"/>
      <c r="F1048298" s="6"/>
      <c r="J1048298" s="5"/>
      <c r="V1048298" s="24"/>
    </row>
    <row r="1048299" s="3" customFormat="1" customHeight="1" spans="3:22">
      <c r="C1048299" s="5"/>
      <c r="D1048299" s="5"/>
      <c r="F1048299" s="6"/>
      <c r="J1048299" s="5"/>
      <c r="V1048299" s="24"/>
    </row>
    <row r="1048300" s="3" customFormat="1" customHeight="1" spans="3:22">
      <c r="C1048300" s="5"/>
      <c r="D1048300" s="5"/>
      <c r="F1048300" s="6"/>
      <c r="J1048300" s="5"/>
      <c r="V1048300" s="24"/>
    </row>
    <row r="1048301" s="3" customFormat="1" customHeight="1" spans="3:22">
      <c r="C1048301" s="5"/>
      <c r="D1048301" s="5"/>
      <c r="F1048301" s="6"/>
      <c r="J1048301" s="5"/>
      <c r="V1048301" s="24"/>
    </row>
    <row r="1048302" s="3" customFormat="1" customHeight="1" spans="3:22">
      <c r="C1048302" s="5"/>
      <c r="D1048302" s="5"/>
      <c r="F1048302" s="6"/>
      <c r="J1048302" s="5"/>
      <c r="V1048302" s="24"/>
    </row>
    <row r="1048303" s="3" customFormat="1" customHeight="1" spans="3:22">
      <c r="C1048303" s="5"/>
      <c r="D1048303" s="5"/>
      <c r="F1048303" s="6"/>
      <c r="J1048303" s="5"/>
      <c r="V1048303" s="24"/>
    </row>
    <row r="1048304" s="3" customFormat="1" customHeight="1" spans="3:22">
      <c r="C1048304" s="5"/>
      <c r="D1048304" s="5"/>
      <c r="F1048304" s="6"/>
      <c r="J1048304" s="5"/>
      <c r="V1048304" s="24"/>
    </row>
    <row r="1048305" s="3" customFormat="1" customHeight="1" spans="3:22">
      <c r="C1048305" s="5"/>
      <c r="D1048305" s="5"/>
      <c r="F1048305" s="6"/>
      <c r="J1048305" s="5"/>
      <c r="V1048305" s="24"/>
    </row>
    <row r="1048306" s="3" customFormat="1" customHeight="1" spans="3:22">
      <c r="C1048306" s="5"/>
      <c r="D1048306" s="5"/>
      <c r="F1048306" s="6"/>
      <c r="J1048306" s="5"/>
      <c r="V1048306" s="24"/>
    </row>
    <row r="1048307" s="3" customFormat="1" customHeight="1" spans="3:22">
      <c r="C1048307" s="5"/>
      <c r="D1048307" s="5"/>
      <c r="F1048307" s="6"/>
      <c r="J1048307" s="5"/>
      <c r="V1048307" s="24"/>
    </row>
    <row r="1048308" s="3" customFormat="1" customHeight="1" spans="3:22">
      <c r="C1048308" s="5"/>
      <c r="D1048308" s="5"/>
      <c r="F1048308" s="6"/>
      <c r="J1048308" s="5"/>
      <c r="V1048308" s="24"/>
    </row>
    <row r="1048309" s="3" customFormat="1" customHeight="1" spans="3:22">
      <c r="C1048309" s="5"/>
      <c r="D1048309" s="5"/>
      <c r="F1048309" s="6"/>
      <c r="J1048309" s="5"/>
      <c r="V1048309" s="24"/>
    </row>
    <row r="1048310" s="3" customFormat="1" customHeight="1" spans="3:22">
      <c r="C1048310" s="5"/>
      <c r="D1048310" s="5"/>
      <c r="F1048310" s="6"/>
      <c r="J1048310" s="5"/>
      <c r="V1048310" s="24"/>
    </row>
    <row r="1048311" s="3" customFormat="1" customHeight="1" spans="3:22">
      <c r="C1048311" s="5"/>
      <c r="D1048311" s="5"/>
      <c r="F1048311" s="6"/>
      <c r="J1048311" s="5"/>
      <c r="V1048311" s="24"/>
    </row>
    <row r="1048312" s="3" customFormat="1" customHeight="1" spans="3:22">
      <c r="C1048312" s="5"/>
      <c r="D1048312" s="5"/>
      <c r="F1048312" s="6"/>
      <c r="J1048312" s="5"/>
      <c r="V1048312" s="24"/>
    </row>
    <row r="1048313" s="3" customFormat="1" customHeight="1" spans="3:22">
      <c r="C1048313" s="5"/>
      <c r="D1048313" s="5"/>
      <c r="F1048313" s="6"/>
      <c r="J1048313" s="5"/>
      <c r="V1048313" s="24"/>
    </row>
    <row r="1048314" s="3" customFormat="1" customHeight="1" spans="3:22">
      <c r="C1048314" s="5"/>
      <c r="D1048314" s="5"/>
      <c r="F1048314" s="6"/>
      <c r="J1048314" s="5"/>
      <c r="V1048314" s="24"/>
    </row>
    <row r="1048315" s="3" customFormat="1" customHeight="1" spans="3:22">
      <c r="C1048315" s="5"/>
      <c r="D1048315" s="5"/>
      <c r="F1048315" s="6"/>
      <c r="J1048315" s="5"/>
      <c r="V1048315" s="24"/>
    </row>
    <row r="1048316" s="3" customFormat="1" customHeight="1" spans="3:22">
      <c r="C1048316" s="5"/>
      <c r="D1048316" s="5"/>
      <c r="F1048316" s="6"/>
      <c r="J1048316" s="5"/>
      <c r="V1048316" s="24"/>
    </row>
    <row r="1048317" s="3" customFormat="1" customHeight="1" spans="3:22">
      <c r="C1048317" s="5"/>
      <c r="D1048317" s="5"/>
      <c r="F1048317" s="6"/>
      <c r="J1048317" s="5"/>
      <c r="V1048317" s="24"/>
    </row>
    <row r="1048318" s="3" customFormat="1" customHeight="1" spans="3:22">
      <c r="C1048318" s="5"/>
      <c r="D1048318" s="5"/>
      <c r="F1048318" s="6"/>
      <c r="J1048318" s="5"/>
      <c r="V1048318" s="24"/>
    </row>
    <row r="1048319" s="3" customFormat="1" customHeight="1" spans="3:22">
      <c r="C1048319" s="5"/>
      <c r="D1048319" s="5"/>
      <c r="F1048319" s="6"/>
      <c r="J1048319" s="5"/>
      <c r="V1048319" s="24"/>
    </row>
    <row r="1048320" s="3" customFormat="1" customHeight="1" spans="3:22">
      <c r="C1048320" s="5"/>
      <c r="D1048320" s="5"/>
      <c r="F1048320" s="6"/>
      <c r="J1048320" s="5"/>
      <c r="V1048320" s="24"/>
    </row>
    <row r="1048321" s="3" customFormat="1" customHeight="1" spans="3:22">
      <c r="C1048321" s="5"/>
      <c r="D1048321" s="5"/>
      <c r="F1048321" s="6"/>
      <c r="J1048321" s="5"/>
      <c r="V1048321" s="24"/>
    </row>
    <row r="1048322" s="3" customFormat="1" customHeight="1" spans="3:22">
      <c r="C1048322" s="5"/>
      <c r="D1048322" s="5"/>
      <c r="F1048322" s="6"/>
      <c r="J1048322" s="5"/>
      <c r="V1048322" s="24"/>
    </row>
    <row r="1048323" s="3" customFormat="1" customHeight="1" spans="3:22">
      <c r="C1048323" s="5"/>
      <c r="D1048323" s="5"/>
      <c r="F1048323" s="6"/>
      <c r="J1048323" s="5"/>
      <c r="V1048323" s="24"/>
    </row>
    <row r="1048324" s="3" customFormat="1" customHeight="1" spans="3:22">
      <c r="C1048324" s="5"/>
      <c r="D1048324" s="5"/>
      <c r="F1048324" s="6"/>
      <c r="J1048324" s="5"/>
      <c r="V1048324" s="24"/>
    </row>
    <row r="1048325" s="3" customFormat="1" customHeight="1" spans="3:22">
      <c r="C1048325" s="5"/>
      <c r="D1048325" s="5"/>
      <c r="F1048325" s="6"/>
      <c r="J1048325" s="5"/>
      <c r="V1048325" s="24"/>
    </row>
    <row r="1048326" s="3" customFormat="1" customHeight="1" spans="3:22">
      <c r="C1048326" s="5"/>
      <c r="D1048326" s="5"/>
      <c r="F1048326" s="6"/>
      <c r="J1048326" s="5"/>
    </row>
    <row r="1048327" s="3" customFormat="1" customHeight="1" spans="3:22">
      <c r="C1048327" s="5"/>
      <c r="D1048327" s="5"/>
      <c r="F1048327" s="6"/>
      <c r="J1048327" s="5"/>
    </row>
    <row r="1048328" s="3" customFormat="1" customHeight="1" spans="3:22">
      <c r="C1048328" s="5"/>
      <c r="D1048328" s="5"/>
      <c r="F1048328" s="6"/>
      <c r="J1048328" s="5"/>
    </row>
    <row r="1048329" s="3" customFormat="1" customHeight="1" spans="3:22">
      <c r="C1048329" s="5"/>
      <c r="D1048329" s="5"/>
      <c r="F1048329" s="6"/>
      <c r="J1048329" s="5"/>
    </row>
    <row r="1048330" s="3" customFormat="1" customHeight="1" spans="3:22">
      <c r="C1048330" s="5"/>
      <c r="D1048330" s="5"/>
      <c r="F1048330" s="6"/>
      <c r="J1048330" s="5"/>
    </row>
    <row r="1048331" s="3" customFormat="1" customHeight="1" spans="3:22">
      <c r="C1048331" s="5"/>
      <c r="D1048331" s="5"/>
      <c r="F1048331" s="6"/>
      <c r="J1048331" s="5"/>
    </row>
    <row r="1048332" s="3" customFormat="1" customHeight="1" spans="3:22">
      <c r="C1048332" s="5"/>
      <c r="D1048332" s="5"/>
      <c r="F1048332" s="6"/>
      <c r="J1048332" s="5"/>
    </row>
    <row r="1048333" s="3" customFormat="1" customHeight="1" spans="3:22">
      <c r="C1048333" s="5"/>
      <c r="D1048333" s="5"/>
      <c r="F1048333" s="6"/>
      <c r="J1048333" s="5"/>
    </row>
    <row r="1048334" s="3" customFormat="1" customHeight="1" spans="3:22">
      <c r="C1048334" s="5"/>
      <c r="D1048334" s="5"/>
      <c r="F1048334" s="6"/>
      <c r="J1048334" s="5"/>
    </row>
    <row r="1048335" s="3" customFormat="1" customHeight="1" spans="3:22">
      <c r="C1048335" s="5"/>
      <c r="D1048335" s="5"/>
      <c r="F1048335" s="6"/>
      <c r="J1048335" s="5"/>
    </row>
    <row r="1048336" s="3" customFormat="1" customHeight="1" spans="3:22">
      <c r="C1048336" s="5"/>
      <c r="D1048336" s="5"/>
      <c r="F1048336" s="6"/>
      <c r="J1048336" s="5"/>
    </row>
    <row r="1048337" s="3" customFormat="1" customHeight="1" spans="3:10">
      <c r="C1048337" s="5"/>
      <c r="D1048337" s="5"/>
      <c r="F1048337" s="6"/>
      <c r="J1048337" s="5"/>
    </row>
    <row r="1048338" s="3" customFormat="1" customHeight="1" spans="3:10">
      <c r="C1048338" s="5"/>
      <c r="D1048338" s="5"/>
      <c r="F1048338" s="6"/>
      <c r="J1048338" s="5"/>
    </row>
    <row r="1048339" s="3" customFormat="1" customHeight="1" spans="3:10">
      <c r="C1048339" s="5"/>
      <c r="D1048339" s="5"/>
      <c r="F1048339" s="6"/>
      <c r="J1048339" s="5"/>
    </row>
    <row r="1048340" s="3" customFormat="1" customHeight="1" spans="3:10">
      <c r="C1048340" s="5"/>
      <c r="D1048340" s="5"/>
      <c r="F1048340" s="6"/>
      <c r="J1048340" s="5"/>
    </row>
    <row r="1048341" s="3" customFormat="1" customHeight="1" spans="3:10">
      <c r="C1048341" s="5"/>
      <c r="D1048341" s="5"/>
      <c r="F1048341" s="6"/>
      <c r="J1048341" s="5"/>
    </row>
    <row r="1048342" s="3" customFormat="1" customHeight="1" spans="3:10">
      <c r="C1048342" s="5"/>
      <c r="D1048342" s="5"/>
      <c r="F1048342" s="6"/>
      <c r="J1048342" s="5"/>
    </row>
    <row r="1048343" s="3" customFormat="1" customHeight="1" spans="3:10">
      <c r="C1048343" s="5"/>
      <c r="D1048343" s="5"/>
      <c r="F1048343" s="6"/>
      <c r="J1048343" s="5"/>
    </row>
    <row r="1048344" s="3" customFormat="1" customHeight="1" spans="3:10">
      <c r="C1048344" s="5"/>
      <c r="D1048344" s="5"/>
      <c r="F1048344" s="6"/>
      <c r="J1048344" s="5"/>
    </row>
    <row r="1048345" s="3" customFormat="1" customHeight="1" spans="3:10">
      <c r="C1048345" s="5"/>
      <c r="D1048345" s="5"/>
      <c r="F1048345" s="6"/>
      <c r="J1048345" s="5"/>
    </row>
    <row r="1048346" s="3" customFormat="1" customHeight="1" spans="3:10">
      <c r="C1048346" s="5"/>
      <c r="D1048346" s="5"/>
      <c r="F1048346" s="6"/>
      <c r="J1048346" s="5"/>
    </row>
    <row r="1048347" s="3" customFormat="1" customHeight="1" spans="3:10">
      <c r="C1048347" s="5"/>
      <c r="D1048347" s="5"/>
      <c r="F1048347" s="6"/>
      <c r="J1048347" s="5"/>
    </row>
    <row r="1048348" s="3" customFormat="1" customHeight="1" spans="3:10">
      <c r="C1048348" s="5"/>
      <c r="D1048348" s="5"/>
      <c r="F1048348" s="6"/>
      <c r="J1048348" s="5"/>
    </row>
    <row r="1048349" s="3" customFormat="1" customHeight="1" spans="3:10">
      <c r="C1048349" s="5"/>
      <c r="D1048349" s="5"/>
      <c r="F1048349" s="6"/>
      <c r="J1048349" s="5"/>
    </row>
    <row r="1048350" s="3" customFormat="1" customHeight="1" spans="3:10">
      <c r="C1048350" s="5"/>
      <c r="D1048350" s="5"/>
      <c r="F1048350" s="6"/>
      <c r="J1048350" s="5"/>
    </row>
    <row r="1048351" s="3" customFormat="1" customHeight="1" spans="3:10">
      <c r="C1048351" s="5"/>
      <c r="D1048351" s="5"/>
      <c r="F1048351" s="6"/>
      <c r="J1048351" s="5"/>
    </row>
    <row r="1048352" s="3" customFormat="1" customHeight="1" spans="3:10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</sheetData>
  <autoFilter xmlns:etc="http://www.wps.cn/officeDocument/2017/etCustomData" ref="A3:XFD100" etc:filterBottomFollowUsedRange="0">
    <extLst/>
  </autoFilter>
  <mergeCells count="1">
    <mergeCell ref="G1:I2"/>
  </mergeCells>
  <conditionalFormatting sqref="H3">
    <cfRule type="duplicateValues" dxfId="0" priority="10946"/>
    <cfRule type="duplicateValues" dxfId="0" priority="10945"/>
  </conditionalFormatting>
  <conditionalFormatting sqref="A4">
    <cfRule type="duplicateValues" dxfId="0" priority="9887"/>
  </conditionalFormatting>
  <conditionalFormatting sqref="H4"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</conditionalFormatting>
  <conditionalFormatting sqref="J4"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  <cfRule type="duplicateValues" dxfId="0" priority="9883"/>
    <cfRule type="duplicateValues" dxfId="0" priority="9884"/>
    <cfRule type="duplicateValues" dxfId="0" priority="9885"/>
    <cfRule type="duplicateValues" dxfId="0" priority="9886"/>
  </conditionalFormatting>
  <conditionalFormatting sqref="L4"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</conditionalFormatting>
  <conditionalFormatting sqref="M4"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  <cfRule type="duplicateValues" dxfId="0" priority="9855"/>
    <cfRule type="duplicateValues" dxfId="0" priority="9856"/>
    <cfRule type="duplicateValues" dxfId="0" priority="9857"/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  <cfRule type="duplicateValues" dxfId="0" priority="9863"/>
    <cfRule type="duplicateValues" dxfId="0" priority="9864"/>
    <cfRule type="duplicateValues" dxfId="0" priority="9865"/>
    <cfRule type="duplicateValues" dxfId="0" priority="9866"/>
  </conditionalFormatting>
  <conditionalFormatting sqref="A5">
    <cfRule type="duplicateValues" dxfId="0" priority="9645"/>
  </conditionalFormatting>
  <conditionalFormatting sqref="H5">
    <cfRule type="duplicateValues" dxfId="0" priority="9648"/>
    <cfRule type="duplicateValues" dxfId="0" priority="9651"/>
    <cfRule type="duplicateValues" dxfId="0" priority="9654"/>
    <cfRule type="duplicateValues" dxfId="0" priority="9657"/>
    <cfRule type="duplicateValues" dxfId="0" priority="9660"/>
    <cfRule type="duplicateValues" dxfId="0" priority="9663"/>
    <cfRule type="duplicateValues" dxfId="0" priority="9666"/>
    <cfRule type="duplicateValues" dxfId="0" priority="9669"/>
    <cfRule type="duplicateValues" dxfId="0" priority="9672"/>
    <cfRule type="duplicateValues" dxfId="0" priority="9675"/>
    <cfRule type="duplicateValues" dxfId="0" priority="9678"/>
    <cfRule type="duplicateValues" dxfId="0" priority="9681"/>
    <cfRule type="duplicateValues" dxfId="0" priority="9684"/>
    <cfRule type="duplicateValues" dxfId="0" priority="9687"/>
    <cfRule type="duplicateValues" dxfId="0" priority="9690"/>
    <cfRule type="duplicateValues" dxfId="0" priority="9693"/>
    <cfRule type="duplicateValues" dxfId="0" priority="9696"/>
    <cfRule type="duplicateValues" dxfId="0" priority="9699"/>
    <cfRule type="duplicateValues" dxfId="0" priority="9702"/>
    <cfRule type="duplicateValues" dxfId="0" priority="9705"/>
  </conditionalFormatting>
  <conditionalFormatting sqref="J5"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  <cfRule type="duplicateValues" dxfId="0" priority="9627"/>
    <cfRule type="duplicateValues" dxfId="0" priority="9630"/>
    <cfRule type="duplicateValues" dxfId="0" priority="9633"/>
    <cfRule type="duplicateValues" dxfId="0" priority="9636"/>
    <cfRule type="duplicateValues" dxfId="0" priority="9639"/>
  </conditionalFormatting>
  <conditionalFormatting sqref="L5"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</conditionalFormatting>
  <conditionalFormatting sqref="M5"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</conditionalFormatting>
  <conditionalFormatting sqref="XEZ5">
    <cfRule type="duplicateValues" dxfId="0" priority="9644"/>
  </conditionalFormatting>
  <conditionalFormatting sqref="A6">
    <cfRule type="duplicateValues" dxfId="0" priority="9641"/>
  </conditionalFormatting>
  <conditionalFormatting sqref="H6">
    <cfRule type="duplicateValues" dxfId="0" priority="9646"/>
    <cfRule type="duplicateValues" dxfId="0" priority="9649"/>
    <cfRule type="duplicateValues" dxfId="0" priority="9652"/>
    <cfRule type="duplicateValues" dxfId="0" priority="9655"/>
    <cfRule type="duplicateValues" dxfId="0" priority="9658"/>
    <cfRule type="duplicateValues" dxfId="0" priority="9661"/>
    <cfRule type="duplicateValues" dxfId="0" priority="9664"/>
    <cfRule type="duplicateValues" dxfId="0" priority="9667"/>
    <cfRule type="duplicateValues" dxfId="0" priority="9670"/>
    <cfRule type="duplicateValues" dxfId="0" priority="9673"/>
    <cfRule type="duplicateValues" dxfId="0" priority="9676"/>
    <cfRule type="duplicateValues" dxfId="0" priority="9679"/>
    <cfRule type="duplicateValues" dxfId="0" priority="9682"/>
    <cfRule type="duplicateValues" dxfId="0" priority="9685"/>
    <cfRule type="duplicateValues" dxfId="0" priority="9688"/>
    <cfRule type="duplicateValues" dxfId="0" priority="9691"/>
    <cfRule type="duplicateValues" dxfId="0" priority="9694"/>
    <cfRule type="duplicateValues" dxfId="0" priority="9697"/>
    <cfRule type="duplicateValues" dxfId="0" priority="9700"/>
    <cfRule type="duplicateValues" dxfId="0" priority="9703"/>
  </conditionalFormatting>
  <conditionalFormatting sqref="J6">
    <cfRule type="duplicateValues" dxfId="0" priority="9580"/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  <cfRule type="duplicateValues" dxfId="0" priority="9625"/>
    <cfRule type="duplicateValues" dxfId="0" priority="9628"/>
    <cfRule type="duplicateValues" dxfId="0" priority="9631"/>
    <cfRule type="duplicateValues" dxfId="0" priority="9634"/>
    <cfRule type="duplicateValues" dxfId="0" priority="9637"/>
  </conditionalFormatting>
  <conditionalFormatting sqref="L6">
    <cfRule type="duplicateValues" dxfId="0" priority="9460"/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</conditionalFormatting>
  <conditionalFormatting sqref="M6">
    <cfRule type="duplicateValues" dxfId="0" priority="9520"/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  <cfRule type="duplicateValues" dxfId="0" priority="9559"/>
    <cfRule type="duplicateValues" dxfId="0" priority="9562"/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</conditionalFormatting>
  <conditionalFormatting sqref="XEZ6">
    <cfRule type="duplicateValues" dxfId="0" priority="9640"/>
  </conditionalFormatting>
  <conditionalFormatting sqref="A7">
    <cfRule type="duplicateValues" dxfId="0" priority="9439"/>
  </conditionalFormatting>
  <conditionalFormatting sqref="H7"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</conditionalFormatting>
  <conditionalFormatting sqref="J7"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  <cfRule type="duplicateValues" dxfId="0" priority="9433"/>
    <cfRule type="duplicateValues" dxfId="0" priority="9434"/>
    <cfRule type="duplicateValues" dxfId="0" priority="9435"/>
    <cfRule type="duplicateValues" dxfId="0" priority="9436"/>
    <cfRule type="duplicateValues" dxfId="0" priority="9437"/>
  </conditionalFormatting>
  <conditionalFormatting sqref="L7"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</conditionalFormatting>
  <conditionalFormatting sqref="M7"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</conditionalFormatting>
  <conditionalFormatting sqref="XEZ7">
    <cfRule type="duplicateValues" dxfId="0" priority="9438"/>
  </conditionalFormatting>
  <conditionalFormatting sqref="A8">
    <cfRule type="duplicateValues" dxfId="0" priority="8997"/>
  </conditionalFormatting>
  <conditionalFormatting sqref="H8"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  <cfRule type="duplicateValues" dxfId="0" priority="9297"/>
  </conditionalFormatting>
  <conditionalFormatting sqref="J8"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  <cfRule type="duplicateValues" dxfId="0" priority="8967"/>
  </conditionalFormatting>
  <conditionalFormatting sqref="L8"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  <cfRule type="duplicateValues" dxfId="0" priority="8367"/>
  </conditionalFormatting>
  <conditionalFormatting sqref="M8"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  <cfRule type="duplicateValues" dxfId="0" priority="8667"/>
  </conditionalFormatting>
  <conditionalFormatting sqref="XEZ8">
    <cfRule type="duplicateValues" dxfId="0" priority="8982"/>
  </conditionalFormatting>
  <conditionalFormatting sqref="A9">
    <cfRule type="duplicateValues" dxfId="0" priority="8996"/>
  </conditionalFormatting>
  <conditionalFormatting sqref="H9"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  <cfRule type="duplicateValues" dxfId="0" priority="9296"/>
  </conditionalFormatting>
  <conditionalFormatting sqref="J9"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  <cfRule type="duplicateValues" dxfId="0" priority="8966"/>
  </conditionalFormatting>
  <conditionalFormatting sqref="L9"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</conditionalFormatting>
  <conditionalFormatting sqref="M9"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</conditionalFormatting>
  <conditionalFormatting sqref="XEZ9">
    <cfRule type="duplicateValues" dxfId="0" priority="8981"/>
  </conditionalFormatting>
  <conditionalFormatting sqref="A10">
    <cfRule type="duplicateValues" dxfId="0" priority="8995"/>
  </conditionalFormatting>
  <conditionalFormatting sqref="H10"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  <cfRule type="duplicateValues" dxfId="0" priority="9295"/>
  </conditionalFormatting>
  <conditionalFormatting sqref="J10"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  <cfRule type="duplicateValues" dxfId="0" priority="8965"/>
  </conditionalFormatting>
  <conditionalFormatting sqref="L10"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</conditionalFormatting>
  <conditionalFormatting sqref="M10"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</conditionalFormatting>
  <conditionalFormatting sqref="XEZ10">
    <cfRule type="duplicateValues" dxfId="0" priority="8980"/>
  </conditionalFormatting>
  <conditionalFormatting sqref="A11">
    <cfRule type="duplicateValues" dxfId="0" priority="8994"/>
  </conditionalFormatting>
  <conditionalFormatting sqref="H11"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  <cfRule type="duplicateValues" dxfId="0" priority="9294"/>
  </conditionalFormatting>
  <conditionalFormatting sqref="J11"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  <cfRule type="duplicateValues" dxfId="0" priority="8964"/>
  </conditionalFormatting>
  <conditionalFormatting sqref="L11"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</conditionalFormatting>
  <conditionalFormatting sqref="M11"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</conditionalFormatting>
  <conditionalFormatting sqref="XEZ11">
    <cfRule type="duplicateValues" dxfId="0" priority="8979"/>
  </conditionalFormatting>
  <conditionalFormatting sqref="A12">
    <cfRule type="duplicateValues" dxfId="0" priority="8993"/>
  </conditionalFormatting>
  <conditionalFormatting sqref="H12"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  <cfRule type="duplicateValues" dxfId="0" priority="9293"/>
  </conditionalFormatting>
  <conditionalFormatting sqref="J12"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  <cfRule type="duplicateValues" dxfId="0" priority="8963"/>
  </conditionalFormatting>
  <conditionalFormatting sqref="L12"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</conditionalFormatting>
  <conditionalFormatting sqref="M12"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</conditionalFormatting>
  <conditionalFormatting sqref="XEZ12">
    <cfRule type="duplicateValues" dxfId="0" priority="8978"/>
  </conditionalFormatting>
  <conditionalFormatting sqref="A13">
    <cfRule type="duplicateValues" dxfId="0" priority="8992"/>
  </conditionalFormatting>
  <conditionalFormatting sqref="H13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3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3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3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3">
    <cfRule type="duplicateValues" dxfId="0" priority="8977"/>
  </conditionalFormatting>
  <conditionalFormatting sqref="A14">
    <cfRule type="duplicateValues" dxfId="0" priority="8991"/>
  </conditionalFormatting>
  <conditionalFormatting sqref="H14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4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4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4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4">
    <cfRule type="duplicateValues" dxfId="0" priority="8976"/>
  </conditionalFormatting>
  <conditionalFormatting sqref="A15">
    <cfRule type="duplicateValues" dxfId="0" priority="8990"/>
  </conditionalFormatting>
  <conditionalFormatting sqref="H15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15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15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15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15">
    <cfRule type="duplicateValues" dxfId="0" priority="8975"/>
  </conditionalFormatting>
  <conditionalFormatting sqref="A16">
    <cfRule type="duplicateValues" dxfId="0" priority="8989"/>
  </conditionalFormatting>
  <conditionalFormatting sqref="H16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16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16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16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16">
    <cfRule type="duplicateValues" dxfId="0" priority="8974"/>
  </conditionalFormatting>
  <conditionalFormatting sqref="A17">
    <cfRule type="duplicateValues" dxfId="0" priority="8988"/>
  </conditionalFormatting>
  <conditionalFormatting sqref="H17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17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17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17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17">
    <cfRule type="duplicateValues" dxfId="0" priority="8973"/>
  </conditionalFormatting>
  <conditionalFormatting sqref="A18">
    <cfRule type="duplicateValues" dxfId="0" priority="8987"/>
  </conditionalFormatting>
  <conditionalFormatting sqref="H18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18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18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18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18">
    <cfRule type="duplicateValues" dxfId="0" priority="8972"/>
  </conditionalFormatting>
  <conditionalFormatting sqref="A19">
    <cfRule type="duplicateValues" dxfId="0" priority="8986"/>
  </conditionalFormatting>
  <conditionalFormatting sqref="H19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19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19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19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19">
    <cfRule type="duplicateValues" dxfId="0" priority="8971"/>
  </conditionalFormatting>
  <conditionalFormatting sqref="A20">
    <cfRule type="duplicateValues" dxfId="0" priority="8985"/>
  </conditionalFormatting>
  <conditionalFormatting sqref="H20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0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0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0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0">
    <cfRule type="duplicateValues" dxfId="0" priority="8970"/>
  </conditionalFormatting>
  <conditionalFormatting sqref="A21">
    <cfRule type="duplicateValues" dxfId="0" priority="7440"/>
  </conditionalFormatting>
  <conditionalFormatting sqref="H21"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  <cfRule type="duplicateValues" dxfId="0" priority="7497"/>
    <cfRule type="duplicateValues" dxfId="0" priority="7500"/>
  </conditionalFormatting>
  <conditionalFormatting sqref="J21"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  <cfRule type="duplicateValues" dxfId="0" priority="7432"/>
    <cfRule type="duplicateValues" dxfId="0" priority="7435"/>
  </conditionalFormatting>
  <conditionalFormatting sqref="L21"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  <cfRule type="duplicateValues" dxfId="0" priority="7312"/>
    <cfRule type="duplicateValues" dxfId="0" priority="7315"/>
  </conditionalFormatting>
  <conditionalFormatting sqref="M21"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  <cfRule type="duplicateValues" dxfId="0" priority="7372"/>
    <cfRule type="duplicateValues" dxfId="0" priority="7375"/>
  </conditionalFormatting>
  <conditionalFormatting sqref="XEZ21">
    <cfRule type="duplicateValues" dxfId="0" priority="7438"/>
  </conditionalFormatting>
  <conditionalFormatting sqref="A22">
    <cfRule type="duplicateValues" dxfId="0" priority="7439"/>
  </conditionalFormatting>
  <conditionalFormatting sqref="H22"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  <cfRule type="duplicateValues" dxfId="0" priority="7496"/>
    <cfRule type="duplicateValues" dxfId="0" priority="7499"/>
  </conditionalFormatting>
  <conditionalFormatting sqref="J22"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  <cfRule type="duplicateValues" dxfId="0" priority="7431"/>
    <cfRule type="duplicateValues" dxfId="0" priority="7434"/>
  </conditionalFormatting>
  <conditionalFormatting sqref="L22"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  <cfRule type="duplicateValues" dxfId="0" priority="7311"/>
    <cfRule type="duplicateValues" dxfId="0" priority="7314"/>
  </conditionalFormatting>
  <conditionalFormatting sqref="M22"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  <cfRule type="duplicateValues" dxfId="0" priority="7371"/>
    <cfRule type="duplicateValues" dxfId="0" priority="7374"/>
  </conditionalFormatting>
  <conditionalFormatting sqref="XEZ22">
    <cfRule type="duplicateValues" dxfId="0" priority="7437"/>
  </conditionalFormatting>
  <conditionalFormatting sqref="A23">
    <cfRule type="duplicateValues" dxfId="0" priority="7255"/>
  </conditionalFormatting>
  <conditionalFormatting sqref="H23"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  <cfRule type="duplicateValues" dxfId="0" priority="7498"/>
  </conditionalFormatting>
  <conditionalFormatting sqref="J23"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  <cfRule type="duplicateValues" dxfId="0" priority="7433"/>
  </conditionalFormatting>
  <conditionalFormatting sqref="L23"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  <cfRule type="duplicateValues" dxfId="0" priority="7313"/>
  </conditionalFormatting>
  <conditionalFormatting sqref="M23"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  <cfRule type="duplicateValues" dxfId="0" priority="7373"/>
  </conditionalFormatting>
  <conditionalFormatting sqref="XEZ23">
    <cfRule type="duplicateValues" dxfId="0" priority="7436"/>
  </conditionalFormatting>
  <conditionalFormatting sqref="A24">
    <cfRule type="duplicateValues" dxfId="0" priority="8984"/>
  </conditionalFormatting>
  <conditionalFormatting sqref="H24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4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4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4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4">
    <cfRule type="duplicateValues" dxfId="0" priority="8969"/>
  </conditionalFormatting>
  <conditionalFormatting sqref="A25">
    <cfRule type="duplicateValues" dxfId="0" priority="8983"/>
  </conditionalFormatting>
  <conditionalFormatting sqref="H25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25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25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25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25">
    <cfRule type="duplicateValues" dxfId="0" priority="8968"/>
  </conditionalFormatting>
  <conditionalFormatting sqref="H26"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</conditionalFormatting>
  <conditionalFormatting sqref="J26"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</conditionalFormatting>
  <conditionalFormatting sqref="L26"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</conditionalFormatting>
  <conditionalFormatting sqref="M26"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</conditionalFormatting>
  <conditionalFormatting sqref="XEZ26">
    <cfRule type="duplicateValues" dxfId="0" priority="7927"/>
  </conditionalFormatting>
  <conditionalFormatting sqref="H27"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</conditionalFormatting>
  <conditionalFormatting sqref="J27"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</conditionalFormatting>
  <conditionalFormatting sqref="L27"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</conditionalFormatting>
  <conditionalFormatting sqref="M27"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</conditionalFormatting>
  <conditionalFormatting sqref="XEZ27">
    <cfRule type="duplicateValues" dxfId="0" priority="7926"/>
  </conditionalFormatting>
  <conditionalFormatting sqref="H28"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</conditionalFormatting>
  <conditionalFormatting sqref="J28"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</conditionalFormatting>
  <conditionalFormatting sqref="L28"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</conditionalFormatting>
  <conditionalFormatting sqref="M28"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</conditionalFormatting>
  <conditionalFormatting sqref="XEZ28">
    <cfRule type="duplicateValues" dxfId="0" priority="7925"/>
  </conditionalFormatting>
  <conditionalFormatting sqref="H29"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</conditionalFormatting>
  <conditionalFormatting sqref="J29"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</conditionalFormatting>
  <conditionalFormatting sqref="L29"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</conditionalFormatting>
  <conditionalFormatting sqref="M29"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</conditionalFormatting>
  <conditionalFormatting sqref="XEZ29">
    <cfRule type="duplicateValues" dxfId="0" priority="7924"/>
  </conditionalFormatting>
  <conditionalFormatting sqref="H30"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</conditionalFormatting>
  <conditionalFormatting sqref="J30"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</conditionalFormatting>
  <conditionalFormatting sqref="L30"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</conditionalFormatting>
  <conditionalFormatting sqref="M30"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</conditionalFormatting>
  <conditionalFormatting sqref="XEZ30">
    <cfRule type="duplicateValues" dxfId="0" priority="7923"/>
  </conditionalFormatting>
  <conditionalFormatting sqref="H31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1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1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1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1">
    <cfRule type="duplicateValues" dxfId="0" priority="7922"/>
  </conditionalFormatting>
  <conditionalFormatting sqref="H32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2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2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2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2">
    <cfRule type="duplicateValues" dxfId="0" priority="7921"/>
  </conditionalFormatting>
  <conditionalFormatting sqref="H33"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  <cfRule type="duplicateValues" dxfId="0" priority="7254"/>
  </conditionalFormatting>
  <conditionalFormatting sqref="J33"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  <cfRule type="duplicateValues" dxfId="0" priority="7149"/>
  </conditionalFormatting>
  <conditionalFormatting sqref="L33"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  <cfRule type="duplicateValues" dxfId="0" priority="6949"/>
  </conditionalFormatting>
  <conditionalFormatting sqref="M33"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  <cfRule type="duplicateValues" dxfId="0" priority="7049"/>
  </conditionalFormatting>
  <conditionalFormatting sqref="XEZ33">
    <cfRule type="duplicateValues" dxfId="0" priority="7154"/>
  </conditionalFormatting>
  <conditionalFormatting sqref="H34"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  <cfRule type="duplicateValues" dxfId="0" priority="7253"/>
  </conditionalFormatting>
  <conditionalFormatting sqref="J34"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  <cfRule type="duplicateValues" dxfId="0" priority="7148"/>
  </conditionalFormatting>
  <conditionalFormatting sqref="L34"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  <cfRule type="duplicateValues" dxfId="0" priority="6948"/>
  </conditionalFormatting>
  <conditionalFormatting sqref="M34"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  <cfRule type="duplicateValues" dxfId="0" priority="7048"/>
  </conditionalFormatting>
  <conditionalFormatting sqref="XEZ34">
    <cfRule type="duplicateValues" dxfId="0" priority="7153"/>
  </conditionalFormatting>
  <conditionalFormatting sqref="H35"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  <cfRule type="duplicateValues" dxfId="0" priority="7252"/>
  </conditionalFormatting>
  <conditionalFormatting sqref="J35"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  <cfRule type="duplicateValues" dxfId="0" priority="7147"/>
  </conditionalFormatting>
  <conditionalFormatting sqref="L35"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  <cfRule type="duplicateValues" dxfId="0" priority="6947"/>
  </conditionalFormatting>
  <conditionalFormatting sqref="M35"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  <cfRule type="duplicateValues" dxfId="0" priority="7047"/>
  </conditionalFormatting>
  <conditionalFormatting sqref="XEZ35">
    <cfRule type="duplicateValues" dxfId="0" priority="7152"/>
  </conditionalFormatting>
  <conditionalFormatting sqref="H36"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  <cfRule type="duplicateValues" dxfId="0" priority="7251"/>
  </conditionalFormatting>
  <conditionalFormatting sqref="J36"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  <cfRule type="duplicateValues" dxfId="0" priority="7146"/>
  </conditionalFormatting>
  <conditionalFormatting sqref="L36"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  <cfRule type="duplicateValues" dxfId="0" priority="6946"/>
  </conditionalFormatting>
  <conditionalFormatting sqref="M36"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  <cfRule type="duplicateValues" dxfId="0" priority="7046"/>
  </conditionalFormatting>
  <conditionalFormatting sqref="XEZ36">
    <cfRule type="duplicateValues" dxfId="0" priority="7151"/>
  </conditionalFormatting>
  <conditionalFormatting sqref="H37"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  <cfRule type="duplicateValues" dxfId="0" priority="7250"/>
  </conditionalFormatting>
  <conditionalFormatting sqref="J37"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  <cfRule type="duplicateValues" dxfId="0" priority="7145"/>
  </conditionalFormatting>
  <conditionalFormatting sqref="L37"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  <cfRule type="duplicateValues" dxfId="0" priority="6945"/>
  </conditionalFormatting>
  <conditionalFormatting sqref="M37"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  <cfRule type="duplicateValues" dxfId="0" priority="7045"/>
  </conditionalFormatting>
  <conditionalFormatting sqref="XEZ37">
    <cfRule type="duplicateValues" dxfId="0" priority="7150"/>
  </conditionalFormatting>
  <conditionalFormatting sqref="H38"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</conditionalFormatting>
  <conditionalFormatting sqref="J38"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</conditionalFormatting>
  <conditionalFormatting sqref="L38"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  <cfRule type="duplicateValues" dxfId="0" priority="6234"/>
  </conditionalFormatting>
  <conditionalFormatting sqref="M38"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  <cfRule type="duplicateValues" dxfId="0" priority="5934"/>
  </conditionalFormatting>
  <conditionalFormatting sqref="XEZ38">
    <cfRule type="duplicateValues" dxfId="0" priority="6549"/>
  </conditionalFormatting>
  <conditionalFormatting sqref="H39"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</conditionalFormatting>
  <conditionalFormatting sqref="J39"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</conditionalFormatting>
  <conditionalFormatting sqref="L39"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  <cfRule type="duplicateValues" dxfId="0" priority="6233"/>
  </conditionalFormatting>
  <conditionalFormatting sqref="M39"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  <cfRule type="duplicateValues" dxfId="0" priority="5933"/>
  </conditionalFormatting>
  <conditionalFormatting sqref="XEZ39">
    <cfRule type="duplicateValues" dxfId="0" priority="6548"/>
  </conditionalFormatting>
  <conditionalFormatting sqref="H40"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</conditionalFormatting>
  <conditionalFormatting sqref="J40"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</conditionalFormatting>
  <conditionalFormatting sqref="L40"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  <cfRule type="duplicateValues" dxfId="0" priority="6232"/>
  </conditionalFormatting>
  <conditionalFormatting sqref="M40"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  <cfRule type="duplicateValues" dxfId="0" priority="5932"/>
  </conditionalFormatting>
  <conditionalFormatting sqref="XEZ40">
    <cfRule type="duplicateValues" dxfId="0" priority="6547"/>
  </conditionalFormatting>
  <conditionalFormatting sqref="H41"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</conditionalFormatting>
  <conditionalFormatting sqref="J41"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</conditionalFormatting>
  <conditionalFormatting sqref="L41"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  <cfRule type="duplicateValues" dxfId="0" priority="6231"/>
  </conditionalFormatting>
  <conditionalFormatting sqref="M41"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  <cfRule type="duplicateValues" dxfId="0" priority="5931"/>
  </conditionalFormatting>
  <conditionalFormatting sqref="XEZ41">
    <cfRule type="duplicateValues" dxfId="0" priority="6546"/>
  </conditionalFormatting>
  <conditionalFormatting sqref="H42"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</conditionalFormatting>
  <conditionalFormatting sqref="J42"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</conditionalFormatting>
  <conditionalFormatting sqref="L42"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  <cfRule type="duplicateValues" dxfId="0" priority="6230"/>
  </conditionalFormatting>
  <conditionalFormatting sqref="M42"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  <cfRule type="duplicateValues" dxfId="0" priority="5930"/>
  </conditionalFormatting>
  <conditionalFormatting sqref="XEZ42">
    <cfRule type="duplicateValues" dxfId="0" priority="6545"/>
  </conditionalFormatting>
  <conditionalFormatting sqref="H43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3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3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3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3">
    <cfRule type="duplicateValues" dxfId="0" priority="6544"/>
  </conditionalFormatting>
  <conditionalFormatting sqref="H44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4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4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4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4">
    <cfRule type="duplicateValues" dxfId="0" priority="6543"/>
  </conditionalFormatting>
  <conditionalFormatting sqref="H45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45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45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45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45">
    <cfRule type="duplicateValues" dxfId="0" priority="6542"/>
  </conditionalFormatting>
  <conditionalFormatting sqref="H46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46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46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46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46">
    <cfRule type="duplicateValues" dxfId="0" priority="6541"/>
  </conditionalFormatting>
  <conditionalFormatting sqref="H47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47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47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47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47">
    <cfRule type="duplicateValues" dxfId="0" priority="6540"/>
  </conditionalFormatting>
  <conditionalFormatting sqref="H48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48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48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48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48">
    <cfRule type="duplicateValues" dxfId="0" priority="6539"/>
  </conditionalFormatting>
  <conditionalFormatting sqref="H49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49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49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49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49">
    <cfRule type="duplicateValues" dxfId="0" priority="6538"/>
  </conditionalFormatting>
  <conditionalFormatting sqref="H50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0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0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0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0">
    <cfRule type="duplicateValues" dxfId="0" priority="6537"/>
  </conditionalFormatting>
  <conditionalFormatting sqref="H51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1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1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1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1">
    <cfRule type="duplicateValues" dxfId="0" priority="6536"/>
  </conditionalFormatting>
  <conditionalFormatting sqref="H52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2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2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2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2">
    <cfRule type="duplicateValues" dxfId="0" priority="6535"/>
  </conditionalFormatting>
  <conditionalFormatting sqref="H53"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</conditionalFormatting>
  <conditionalFormatting sqref="J53"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</conditionalFormatting>
  <conditionalFormatting sqref="K53"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  <cfRule type="duplicateValues" dxfId="0" priority="5580"/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</conditionalFormatting>
  <conditionalFormatting sqref="L53"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</conditionalFormatting>
  <conditionalFormatting sqref="XEV53">
    <cfRule type="duplicateValues" dxfId="0" priority="5613"/>
  </conditionalFormatting>
  <conditionalFormatting sqref="XFA53">
    <cfRule type="duplicateValues" dxfId="0" priority="5614"/>
  </conditionalFormatting>
  <conditionalFormatting sqref="H54">
    <cfRule type="duplicateValues" dxfId="0" priority="5533"/>
    <cfRule type="duplicateValues" dxfId="0" priority="5534"/>
    <cfRule type="duplicateValues" dxfId="0" priority="5535"/>
    <cfRule type="duplicateValues" dxfId="0" priority="5536"/>
    <cfRule type="duplicateValues" dxfId="0" priority="5537"/>
    <cfRule type="duplicateValues" dxfId="0" priority="5538"/>
    <cfRule type="duplicateValues" dxfId="0" priority="5539"/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</conditionalFormatting>
  <conditionalFormatting sqref="J54"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  <cfRule type="duplicateValues" dxfId="0" priority="5521"/>
    <cfRule type="duplicateValues" dxfId="0" priority="5522"/>
    <cfRule type="duplicateValues" dxfId="0" priority="5523"/>
    <cfRule type="duplicateValues" dxfId="0" priority="5524"/>
    <cfRule type="duplicateValues" dxfId="0" priority="5525"/>
    <cfRule type="duplicateValues" dxfId="0" priority="5526"/>
    <cfRule type="duplicateValues" dxfId="0" priority="5527"/>
    <cfRule type="duplicateValues" dxfId="0" priority="5528"/>
    <cfRule type="duplicateValues" dxfId="0" priority="5529"/>
    <cfRule type="duplicateValues" dxfId="0" priority="5530"/>
  </conditionalFormatting>
  <conditionalFormatting sqref="K54">
    <cfRule type="duplicateValues" dxfId="0" priority="5491"/>
    <cfRule type="duplicateValues" dxfId="0" priority="5492"/>
    <cfRule type="duplicateValues" dxfId="0" priority="5493"/>
    <cfRule type="duplicateValues" dxfId="0" priority="5494"/>
    <cfRule type="duplicateValues" dxfId="0" priority="5495"/>
    <cfRule type="duplicateValues" dxfId="0" priority="5496"/>
    <cfRule type="duplicateValues" dxfId="0" priority="5497"/>
    <cfRule type="duplicateValues" dxfId="0" priority="5498"/>
    <cfRule type="duplicateValues" dxfId="0" priority="5499"/>
    <cfRule type="duplicateValues" dxfId="0" priority="5500"/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</conditionalFormatting>
  <conditionalFormatting sqref="L54"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</conditionalFormatting>
  <conditionalFormatting sqref="M54">
    <cfRule type="duplicateValues" dxfId="0" priority="5471"/>
    <cfRule type="duplicateValues" dxfId="0" priority="5472"/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</conditionalFormatting>
  <conditionalFormatting sqref="XEV54">
    <cfRule type="duplicateValues" dxfId="0" priority="5531"/>
  </conditionalFormatting>
  <conditionalFormatting sqref="XFA54">
    <cfRule type="duplicateValues" dxfId="0" priority="5532"/>
  </conditionalFormatting>
  <conditionalFormatting sqref="A55">
    <cfRule type="duplicateValues" dxfId="0" priority="5430"/>
  </conditionalFormatting>
  <conditionalFormatting sqref="H55"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</conditionalFormatting>
  <conditionalFormatting sqref="J55"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</conditionalFormatting>
  <conditionalFormatting sqref="K55"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  <cfRule type="duplicateValues" dxfId="0" priority="5404"/>
    <cfRule type="duplicateValues" dxfId="0" priority="5405"/>
    <cfRule type="duplicateValues" dxfId="0" priority="5406"/>
    <cfRule type="duplicateValues" dxfId="0" priority="5407"/>
  </conditionalFormatting>
  <conditionalFormatting sqref="L55"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</conditionalFormatting>
  <conditionalFormatting sqref="M55"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</conditionalFormatting>
  <conditionalFormatting sqref="XEV55">
    <cfRule type="duplicateValues" dxfId="0" priority="5428"/>
  </conditionalFormatting>
  <conditionalFormatting sqref="XFA55">
    <cfRule type="duplicateValues" dxfId="0" priority="5429"/>
  </conditionalFormatting>
  <conditionalFormatting sqref="A56">
    <cfRule type="duplicateValues" dxfId="0" priority="5327"/>
  </conditionalFormatting>
  <conditionalFormatting sqref="H56"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</conditionalFormatting>
  <conditionalFormatting sqref="J56"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</conditionalFormatting>
  <conditionalFormatting sqref="K56">
    <cfRule type="duplicateValues" dxfId="0" priority="5285"/>
    <cfRule type="duplicateValues" dxfId="0" priority="5286"/>
    <cfRule type="duplicateValues" dxfId="0" priority="5287"/>
    <cfRule type="duplicateValues" dxfId="0" priority="5288"/>
    <cfRule type="duplicateValues" dxfId="0" priority="5289"/>
    <cfRule type="duplicateValues" dxfId="0" priority="5290"/>
    <cfRule type="duplicateValues" dxfId="0" priority="5291"/>
    <cfRule type="duplicateValues" dxfId="0" priority="5292"/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</conditionalFormatting>
  <conditionalFormatting sqref="L56">
    <cfRule type="duplicateValues" dxfId="0" priority="5245"/>
    <cfRule type="duplicateValues" dxfId="0" priority="5246"/>
    <cfRule type="duplicateValues" dxfId="0" priority="5247"/>
    <cfRule type="duplicateValues" dxfId="0" priority="5248"/>
    <cfRule type="duplicateValues" dxfId="0" priority="5249"/>
    <cfRule type="duplicateValues" dxfId="0" priority="5250"/>
    <cfRule type="duplicateValues" dxfId="0" priority="5251"/>
    <cfRule type="duplicateValues" dxfId="0" priority="5252"/>
    <cfRule type="duplicateValues" dxfId="0" priority="5253"/>
    <cfRule type="duplicateValues" dxfId="0" priority="5254"/>
    <cfRule type="duplicateValues" dxfId="0" priority="5255"/>
    <cfRule type="duplicateValues" dxfId="0" priority="5256"/>
    <cfRule type="duplicateValues" dxfId="0" priority="5257"/>
    <cfRule type="duplicateValues" dxfId="0" priority="5258"/>
    <cfRule type="duplicateValues" dxfId="0" priority="5259"/>
    <cfRule type="duplicateValues" dxfId="0" priority="5260"/>
    <cfRule type="duplicateValues" dxfId="0" priority="5261"/>
    <cfRule type="duplicateValues" dxfId="0" priority="5262"/>
    <cfRule type="duplicateValues" dxfId="0" priority="5263"/>
    <cfRule type="duplicateValues" dxfId="0" priority="5264"/>
  </conditionalFormatting>
  <conditionalFormatting sqref="M56">
    <cfRule type="duplicateValues" dxfId="0" priority="5265"/>
    <cfRule type="duplicateValues" dxfId="0" priority="5266"/>
    <cfRule type="duplicateValues" dxfId="0" priority="5267"/>
    <cfRule type="duplicateValues" dxfId="0" priority="5268"/>
    <cfRule type="duplicateValues" dxfId="0" priority="5269"/>
    <cfRule type="duplicateValues" dxfId="0" priority="5270"/>
    <cfRule type="duplicateValues" dxfId="0" priority="5271"/>
    <cfRule type="duplicateValues" dxfId="0" priority="5272"/>
    <cfRule type="duplicateValues" dxfId="0" priority="5273"/>
    <cfRule type="duplicateValues" dxfId="0" priority="5274"/>
    <cfRule type="duplicateValues" dxfId="0" priority="5275"/>
    <cfRule type="duplicateValues" dxfId="0" priority="5276"/>
    <cfRule type="duplicateValues" dxfId="0" priority="5277"/>
    <cfRule type="duplicateValues" dxfId="0" priority="5278"/>
    <cfRule type="duplicateValues" dxfId="0" priority="5279"/>
    <cfRule type="duplicateValues" dxfId="0" priority="5280"/>
    <cfRule type="duplicateValues" dxfId="0" priority="5281"/>
    <cfRule type="duplicateValues" dxfId="0" priority="5282"/>
    <cfRule type="duplicateValues" dxfId="0" priority="5283"/>
    <cfRule type="duplicateValues" dxfId="0" priority="5284"/>
  </conditionalFormatting>
  <conditionalFormatting sqref="XEV56">
    <cfRule type="duplicateValues" dxfId="0" priority="5325"/>
  </conditionalFormatting>
  <conditionalFormatting sqref="XFA56">
    <cfRule type="duplicateValues" dxfId="0" priority="5326"/>
  </conditionalFormatting>
  <conditionalFormatting sqref="A57">
    <cfRule type="duplicateValues" dxfId="0" priority="5124"/>
  </conditionalFormatting>
  <conditionalFormatting sqref="H57"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  <cfRule type="duplicateValues" dxfId="0" priority="5244"/>
  </conditionalFormatting>
  <conditionalFormatting sqref="J57"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  <cfRule type="duplicateValues" dxfId="0" priority="5058"/>
    <cfRule type="duplicateValues" dxfId="0" priority="5064"/>
    <cfRule type="duplicateValues" dxfId="0" priority="5070"/>
    <cfRule type="duplicateValues" dxfId="0" priority="5076"/>
    <cfRule type="duplicateValues" dxfId="0" priority="5082"/>
    <cfRule type="duplicateValues" dxfId="0" priority="5088"/>
    <cfRule type="duplicateValues" dxfId="0" priority="5094"/>
    <cfRule type="duplicateValues" dxfId="0" priority="5100"/>
    <cfRule type="duplicateValues" dxfId="0" priority="5106"/>
  </conditionalFormatting>
  <conditionalFormatting sqref="K57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L57"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</conditionalFormatting>
  <conditionalFormatting sqref="M57"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</conditionalFormatting>
  <conditionalFormatting sqref="XEV57">
    <cfRule type="duplicateValues" dxfId="0" priority="5112"/>
  </conditionalFormatting>
  <conditionalFormatting sqref="XFA57">
    <cfRule type="duplicateValues" dxfId="0" priority="5118"/>
  </conditionalFormatting>
  <conditionalFormatting sqref="A58">
    <cfRule type="duplicateValues" dxfId="0" priority="5123"/>
  </conditionalFormatting>
  <conditionalFormatting sqref="H58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J58"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  <cfRule type="duplicateValues" dxfId="0" priority="5057"/>
    <cfRule type="duplicateValues" dxfId="0" priority="5063"/>
    <cfRule type="duplicateValues" dxfId="0" priority="5069"/>
    <cfRule type="duplicateValues" dxfId="0" priority="5075"/>
    <cfRule type="duplicateValues" dxfId="0" priority="5081"/>
    <cfRule type="duplicateValues" dxfId="0" priority="5087"/>
    <cfRule type="duplicateValues" dxfId="0" priority="5093"/>
    <cfRule type="duplicateValues" dxfId="0" priority="5099"/>
    <cfRule type="duplicateValues" dxfId="0" priority="5105"/>
  </conditionalFormatting>
  <conditionalFormatting sqref="K58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L58"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</conditionalFormatting>
  <conditionalFormatting sqref="M58"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</conditionalFormatting>
  <conditionalFormatting sqref="XEV58">
    <cfRule type="duplicateValues" dxfId="0" priority="5111"/>
  </conditionalFormatting>
  <conditionalFormatting sqref="XFA58">
    <cfRule type="duplicateValues" dxfId="0" priority="5117"/>
  </conditionalFormatting>
  <conditionalFormatting sqref="A59">
    <cfRule type="duplicateValues" dxfId="0" priority="5122"/>
  </conditionalFormatting>
  <conditionalFormatting sqref="H59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J59"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  <cfRule type="duplicateValues" dxfId="0" priority="5056"/>
    <cfRule type="duplicateValues" dxfId="0" priority="5062"/>
    <cfRule type="duplicateValues" dxfId="0" priority="5068"/>
    <cfRule type="duplicateValues" dxfId="0" priority="5074"/>
    <cfRule type="duplicateValues" dxfId="0" priority="5080"/>
    <cfRule type="duplicateValues" dxfId="0" priority="5086"/>
    <cfRule type="duplicateValues" dxfId="0" priority="5092"/>
    <cfRule type="duplicateValues" dxfId="0" priority="5098"/>
    <cfRule type="duplicateValues" dxfId="0" priority="5104"/>
  </conditionalFormatting>
  <conditionalFormatting sqref="K59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L59"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</conditionalFormatting>
  <conditionalFormatting sqref="M59"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</conditionalFormatting>
  <conditionalFormatting sqref="XEV59">
    <cfRule type="duplicateValues" dxfId="0" priority="5110"/>
  </conditionalFormatting>
  <conditionalFormatting sqref="XFA59">
    <cfRule type="duplicateValues" dxfId="0" priority="5116"/>
  </conditionalFormatting>
  <conditionalFormatting sqref="A60">
    <cfRule type="duplicateValues" dxfId="0" priority="5121"/>
  </conditionalFormatting>
  <conditionalFormatting sqref="H60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J60"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  <cfRule type="duplicateValues" dxfId="0" priority="5055"/>
    <cfRule type="duplicateValues" dxfId="0" priority="5061"/>
    <cfRule type="duplicateValues" dxfId="0" priority="5067"/>
    <cfRule type="duplicateValues" dxfId="0" priority="5073"/>
    <cfRule type="duplicateValues" dxfId="0" priority="5079"/>
    <cfRule type="duplicateValues" dxfId="0" priority="5085"/>
    <cfRule type="duplicateValues" dxfId="0" priority="5091"/>
    <cfRule type="duplicateValues" dxfId="0" priority="5097"/>
    <cfRule type="duplicateValues" dxfId="0" priority="5103"/>
  </conditionalFormatting>
  <conditionalFormatting sqref="K60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L60"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</conditionalFormatting>
  <conditionalFormatting sqref="M60"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</conditionalFormatting>
  <conditionalFormatting sqref="XEV60">
    <cfRule type="duplicateValues" dxfId="0" priority="5109"/>
  </conditionalFormatting>
  <conditionalFormatting sqref="XFA60">
    <cfRule type="duplicateValues" dxfId="0" priority="5115"/>
  </conditionalFormatting>
  <conditionalFormatting sqref="A61">
    <cfRule type="duplicateValues" dxfId="0" priority="5120"/>
  </conditionalFormatting>
  <conditionalFormatting sqref="H61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J61"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  <cfRule type="duplicateValues" dxfId="0" priority="5060"/>
    <cfRule type="duplicateValues" dxfId="0" priority="5066"/>
    <cfRule type="duplicateValues" dxfId="0" priority="5072"/>
    <cfRule type="duplicateValues" dxfId="0" priority="5078"/>
    <cfRule type="duplicateValues" dxfId="0" priority="5084"/>
    <cfRule type="duplicateValues" dxfId="0" priority="5090"/>
    <cfRule type="duplicateValues" dxfId="0" priority="5096"/>
    <cfRule type="duplicateValues" dxfId="0" priority="5102"/>
  </conditionalFormatting>
  <conditionalFormatting sqref="K61"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</conditionalFormatting>
  <conditionalFormatting sqref="L61"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</conditionalFormatting>
  <conditionalFormatting sqref="M61"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</conditionalFormatting>
  <conditionalFormatting sqref="XEV61">
    <cfRule type="duplicateValues" dxfId="0" priority="5108"/>
  </conditionalFormatting>
  <conditionalFormatting sqref="XFA61">
    <cfRule type="duplicateValues" dxfId="0" priority="5114"/>
  </conditionalFormatting>
  <conditionalFormatting sqref="A62">
    <cfRule type="duplicateValues" dxfId="0" priority="5119"/>
  </conditionalFormatting>
  <conditionalFormatting sqref="H62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J62"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  <cfRule type="duplicateValues" dxfId="0" priority="5059"/>
    <cfRule type="duplicateValues" dxfId="0" priority="5065"/>
    <cfRule type="duplicateValues" dxfId="0" priority="5071"/>
    <cfRule type="duplicateValues" dxfId="0" priority="5077"/>
    <cfRule type="duplicateValues" dxfId="0" priority="5083"/>
    <cfRule type="duplicateValues" dxfId="0" priority="5089"/>
    <cfRule type="duplicateValues" dxfId="0" priority="5095"/>
    <cfRule type="duplicateValues" dxfId="0" priority="5101"/>
  </conditionalFormatting>
  <conditionalFormatting sqref="K62"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</conditionalFormatting>
  <conditionalFormatting sqref="L62"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</conditionalFormatting>
  <conditionalFormatting sqref="M62"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</conditionalFormatting>
  <conditionalFormatting sqref="XEV62">
    <cfRule type="duplicateValues" dxfId="0" priority="5107"/>
  </conditionalFormatting>
  <conditionalFormatting sqref="XFA62">
    <cfRule type="duplicateValues" dxfId="0" priority="5113"/>
  </conditionalFormatting>
  <conditionalFormatting sqref="A63">
    <cfRule type="duplicateValues" dxfId="0" priority="4506"/>
  </conditionalFormatting>
  <conditionalFormatting sqref="H63"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</conditionalFormatting>
  <conditionalFormatting sqref="J63"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</conditionalFormatting>
  <conditionalFormatting sqref="K63"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</conditionalFormatting>
  <conditionalFormatting sqref="L63"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</conditionalFormatting>
  <conditionalFormatting sqref="M63"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</conditionalFormatting>
  <conditionalFormatting sqref="XEV63">
    <cfRule type="duplicateValues" dxfId="0" priority="4494"/>
  </conditionalFormatting>
  <conditionalFormatting sqref="XFA63">
    <cfRule type="duplicateValues" dxfId="0" priority="4500"/>
  </conditionalFormatting>
  <conditionalFormatting sqref="A64">
    <cfRule type="duplicateValues" dxfId="0" priority="4505"/>
  </conditionalFormatting>
  <conditionalFormatting sqref="H64"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</conditionalFormatting>
  <conditionalFormatting sqref="J64"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</conditionalFormatting>
  <conditionalFormatting sqref="K64"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</conditionalFormatting>
  <conditionalFormatting sqref="L64"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</conditionalFormatting>
  <conditionalFormatting sqref="M64"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</conditionalFormatting>
  <conditionalFormatting sqref="XEV64">
    <cfRule type="duplicateValues" dxfId="0" priority="4493"/>
  </conditionalFormatting>
  <conditionalFormatting sqref="XFA64">
    <cfRule type="duplicateValues" dxfId="0" priority="4499"/>
  </conditionalFormatting>
  <conditionalFormatting sqref="A65">
    <cfRule type="duplicateValues" dxfId="0" priority="4504"/>
  </conditionalFormatting>
  <conditionalFormatting sqref="H65"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</conditionalFormatting>
  <conditionalFormatting sqref="J65"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</conditionalFormatting>
  <conditionalFormatting sqref="K65"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</conditionalFormatting>
  <conditionalFormatting sqref="L65"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</conditionalFormatting>
  <conditionalFormatting sqref="M65"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</conditionalFormatting>
  <conditionalFormatting sqref="XEV65">
    <cfRule type="duplicateValues" dxfId="0" priority="4492"/>
  </conditionalFormatting>
  <conditionalFormatting sqref="XFA65">
    <cfRule type="duplicateValues" dxfId="0" priority="4498"/>
  </conditionalFormatting>
  <conditionalFormatting sqref="A66">
    <cfRule type="duplicateValues" dxfId="0" priority="4503"/>
  </conditionalFormatting>
  <conditionalFormatting sqref="H66"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</conditionalFormatting>
  <conditionalFormatting sqref="J66"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</conditionalFormatting>
  <conditionalFormatting sqref="K66"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</conditionalFormatting>
  <conditionalFormatting sqref="L66"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</conditionalFormatting>
  <conditionalFormatting sqref="M66"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</conditionalFormatting>
  <conditionalFormatting sqref="XEV66">
    <cfRule type="duplicateValues" dxfId="0" priority="4491"/>
  </conditionalFormatting>
  <conditionalFormatting sqref="XFA66">
    <cfRule type="duplicateValues" dxfId="0" priority="4497"/>
  </conditionalFormatting>
  <conditionalFormatting sqref="A67">
    <cfRule type="duplicateValues" dxfId="0" priority="4502"/>
  </conditionalFormatting>
  <conditionalFormatting sqref="H67"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</conditionalFormatting>
  <conditionalFormatting sqref="J67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K67"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</conditionalFormatting>
  <conditionalFormatting sqref="L67"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</conditionalFormatting>
  <conditionalFormatting sqref="M67"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</conditionalFormatting>
  <conditionalFormatting sqref="XEV67">
    <cfRule type="duplicateValues" dxfId="0" priority="4490"/>
  </conditionalFormatting>
  <conditionalFormatting sqref="XFA67">
    <cfRule type="duplicateValues" dxfId="0" priority="4496"/>
  </conditionalFormatting>
  <conditionalFormatting sqref="A68">
    <cfRule type="duplicateValues" dxfId="0" priority="4501"/>
  </conditionalFormatting>
  <conditionalFormatting sqref="H68"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</conditionalFormatting>
  <conditionalFormatting sqref="J68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K68"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</conditionalFormatting>
  <conditionalFormatting sqref="L68"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</conditionalFormatting>
  <conditionalFormatting sqref="M68"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</conditionalFormatting>
  <conditionalFormatting sqref="XEV68">
    <cfRule type="duplicateValues" dxfId="0" priority="4489"/>
  </conditionalFormatting>
  <conditionalFormatting sqref="XFA68">
    <cfRule type="duplicateValues" dxfId="0" priority="4495"/>
  </conditionalFormatting>
  <conditionalFormatting sqref="A69">
    <cfRule type="duplicateValues" dxfId="0" priority="3708"/>
  </conditionalFormatting>
  <conditionalFormatting sqref="H69"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</conditionalFormatting>
  <conditionalFormatting sqref="J69"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</conditionalFormatting>
  <conditionalFormatting sqref="K69"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</conditionalFormatting>
  <conditionalFormatting sqref="L69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M69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XEV69">
    <cfRule type="duplicateValues" dxfId="0" priority="3678"/>
  </conditionalFormatting>
  <conditionalFormatting sqref="XFA69">
    <cfRule type="duplicateValues" dxfId="0" priority="3693"/>
  </conditionalFormatting>
  <conditionalFormatting sqref="A70">
    <cfRule type="duplicateValues" dxfId="0" priority="3707"/>
  </conditionalFormatting>
  <conditionalFormatting sqref="H70"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</conditionalFormatting>
  <conditionalFormatting sqref="J70"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</conditionalFormatting>
  <conditionalFormatting sqref="K70"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</conditionalFormatting>
  <conditionalFormatting sqref="L70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M70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XEV70">
    <cfRule type="duplicateValues" dxfId="0" priority="3677"/>
  </conditionalFormatting>
  <conditionalFormatting sqref="XFA70">
    <cfRule type="duplicateValues" dxfId="0" priority="3692"/>
  </conditionalFormatting>
  <conditionalFormatting sqref="A71">
    <cfRule type="duplicateValues" dxfId="0" priority="3706"/>
  </conditionalFormatting>
  <conditionalFormatting sqref="H71"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</conditionalFormatting>
  <conditionalFormatting sqref="J71"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</conditionalFormatting>
  <conditionalFormatting sqref="K71"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</conditionalFormatting>
  <conditionalFormatting sqref="L71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M71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XEV71">
    <cfRule type="duplicateValues" dxfId="0" priority="3676"/>
  </conditionalFormatting>
  <conditionalFormatting sqref="XFA71">
    <cfRule type="duplicateValues" dxfId="0" priority="3691"/>
  </conditionalFormatting>
  <conditionalFormatting sqref="A72">
    <cfRule type="duplicateValues" dxfId="0" priority="3705"/>
  </conditionalFormatting>
  <conditionalFormatting sqref="H72"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</conditionalFormatting>
  <conditionalFormatting sqref="J72"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</conditionalFormatting>
  <conditionalFormatting sqref="K72"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</conditionalFormatting>
  <conditionalFormatting sqref="L72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M72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XEV72">
    <cfRule type="duplicateValues" dxfId="0" priority="3675"/>
  </conditionalFormatting>
  <conditionalFormatting sqref="XFA72">
    <cfRule type="duplicateValues" dxfId="0" priority="3690"/>
  </conditionalFormatting>
  <conditionalFormatting sqref="A73">
    <cfRule type="duplicateValues" dxfId="0" priority="3704"/>
  </conditionalFormatting>
  <conditionalFormatting sqref="H73"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</conditionalFormatting>
  <conditionalFormatting sqref="J73"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</conditionalFormatting>
  <conditionalFormatting sqref="K73"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</conditionalFormatting>
  <conditionalFormatting sqref="L73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M73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XEV73">
    <cfRule type="duplicateValues" dxfId="0" priority="3674"/>
  </conditionalFormatting>
  <conditionalFormatting sqref="XFA73">
    <cfRule type="duplicateValues" dxfId="0" priority="3689"/>
  </conditionalFormatting>
  <conditionalFormatting sqref="A74">
    <cfRule type="duplicateValues" dxfId="0" priority="3703"/>
  </conditionalFormatting>
  <conditionalFormatting sqref="H74"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</conditionalFormatting>
  <conditionalFormatting sqref="J74"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</conditionalFormatting>
  <conditionalFormatting sqref="K74"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</conditionalFormatting>
  <conditionalFormatting sqref="L74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M74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XEV74">
    <cfRule type="duplicateValues" dxfId="0" priority="3673"/>
  </conditionalFormatting>
  <conditionalFormatting sqref="XFA74">
    <cfRule type="duplicateValues" dxfId="0" priority="3688"/>
  </conditionalFormatting>
  <conditionalFormatting sqref="A75">
    <cfRule type="duplicateValues" dxfId="0" priority="3702"/>
  </conditionalFormatting>
  <conditionalFormatting sqref="H75"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</conditionalFormatting>
  <conditionalFormatting sqref="J75"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</conditionalFormatting>
  <conditionalFormatting sqref="K75"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</conditionalFormatting>
  <conditionalFormatting sqref="L75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M75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XEV75">
    <cfRule type="duplicateValues" dxfId="0" priority="3672"/>
  </conditionalFormatting>
  <conditionalFormatting sqref="XFA75">
    <cfRule type="duplicateValues" dxfId="0" priority="3687"/>
  </conditionalFormatting>
  <conditionalFormatting sqref="A76">
    <cfRule type="duplicateValues" dxfId="0" priority="3701"/>
  </conditionalFormatting>
  <conditionalFormatting sqref="H76"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</conditionalFormatting>
  <conditionalFormatting sqref="J76"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</conditionalFormatting>
  <conditionalFormatting sqref="K76"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</conditionalFormatting>
  <conditionalFormatting sqref="L76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M76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XEV76">
    <cfRule type="duplicateValues" dxfId="0" priority="3671"/>
  </conditionalFormatting>
  <conditionalFormatting sqref="XFA76">
    <cfRule type="duplicateValues" dxfId="0" priority="3686"/>
  </conditionalFormatting>
  <conditionalFormatting sqref="A77">
    <cfRule type="duplicateValues" dxfId="0" priority="3700"/>
  </conditionalFormatting>
  <conditionalFormatting sqref="H77"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</conditionalFormatting>
  <conditionalFormatting sqref="J77"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</conditionalFormatting>
  <conditionalFormatting sqref="K77"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</conditionalFormatting>
  <conditionalFormatting sqref="L77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M77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XEV77">
    <cfRule type="duplicateValues" dxfId="0" priority="3670"/>
  </conditionalFormatting>
  <conditionalFormatting sqref="XFA77">
    <cfRule type="duplicateValues" dxfId="0" priority="3685"/>
  </conditionalFormatting>
  <conditionalFormatting sqref="A78">
    <cfRule type="duplicateValues" dxfId="0" priority="3699"/>
  </conditionalFormatting>
  <conditionalFormatting sqref="H78"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</conditionalFormatting>
  <conditionalFormatting sqref="J78"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</conditionalFormatting>
  <conditionalFormatting sqref="K78"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</conditionalFormatting>
  <conditionalFormatting sqref="L78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M78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XEV78">
    <cfRule type="duplicateValues" dxfId="0" priority="3669"/>
  </conditionalFormatting>
  <conditionalFormatting sqref="XFA78">
    <cfRule type="duplicateValues" dxfId="0" priority="3684"/>
  </conditionalFormatting>
  <conditionalFormatting sqref="A79">
    <cfRule type="duplicateValues" dxfId="0" priority="3698"/>
  </conditionalFormatting>
  <conditionalFormatting sqref="H79"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</conditionalFormatting>
  <conditionalFormatting sqref="J79"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</conditionalFormatting>
  <conditionalFormatting sqref="K79"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</conditionalFormatting>
  <conditionalFormatting sqref="L79"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</conditionalFormatting>
  <conditionalFormatting sqref="M79"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</conditionalFormatting>
  <conditionalFormatting sqref="XEV79">
    <cfRule type="duplicateValues" dxfId="0" priority="3668"/>
  </conditionalFormatting>
  <conditionalFormatting sqref="XFA79">
    <cfRule type="duplicateValues" dxfId="0" priority="3683"/>
  </conditionalFormatting>
  <conditionalFormatting sqref="A80">
    <cfRule type="duplicateValues" dxfId="0" priority="3697"/>
  </conditionalFormatting>
  <conditionalFormatting sqref="H80"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</conditionalFormatting>
  <conditionalFormatting sqref="J80"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</conditionalFormatting>
  <conditionalFormatting sqref="K80"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</conditionalFormatting>
  <conditionalFormatting sqref="L80"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</conditionalFormatting>
  <conditionalFormatting sqref="M80"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</conditionalFormatting>
  <conditionalFormatting sqref="XEV80">
    <cfRule type="duplicateValues" dxfId="0" priority="3667"/>
  </conditionalFormatting>
  <conditionalFormatting sqref="XFA80">
    <cfRule type="duplicateValues" dxfId="0" priority="3682"/>
  </conditionalFormatting>
  <conditionalFormatting sqref="A81">
    <cfRule type="duplicateValues" dxfId="0" priority="3696"/>
  </conditionalFormatting>
  <conditionalFormatting sqref="H81"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</conditionalFormatting>
  <conditionalFormatting sqref="J81"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</conditionalFormatting>
  <conditionalFormatting sqref="K81"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</conditionalFormatting>
  <conditionalFormatting sqref="L81"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</conditionalFormatting>
  <conditionalFormatting sqref="M81"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</conditionalFormatting>
  <conditionalFormatting sqref="XEV81">
    <cfRule type="duplicateValues" dxfId="0" priority="3666"/>
  </conditionalFormatting>
  <conditionalFormatting sqref="XFA81">
    <cfRule type="duplicateValues" dxfId="0" priority="3681"/>
  </conditionalFormatting>
  <conditionalFormatting sqref="A82">
    <cfRule type="duplicateValues" dxfId="0" priority="3695"/>
  </conditionalFormatting>
  <conditionalFormatting sqref="H82"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</conditionalFormatting>
  <conditionalFormatting sqref="J82"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</conditionalFormatting>
  <conditionalFormatting sqref="K82"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</conditionalFormatting>
  <conditionalFormatting sqref="L82"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</conditionalFormatting>
  <conditionalFormatting sqref="M82"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</conditionalFormatting>
  <conditionalFormatting sqref="XEV82">
    <cfRule type="duplicateValues" dxfId="0" priority="3665"/>
  </conditionalFormatting>
  <conditionalFormatting sqref="XFA82">
    <cfRule type="duplicateValues" dxfId="0" priority="3680"/>
  </conditionalFormatting>
  <conditionalFormatting sqref="A83">
    <cfRule type="duplicateValues" dxfId="0" priority="3694"/>
  </conditionalFormatting>
  <conditionalFormatting sqref="H83"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</conditionalFormatting>
  <conditionalFormatting sqref="J83"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</conditionalFormatting>
  <conditionalFormatting sqref="K83"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</conditionalFormatting>
  <conditionalFormatting sqref="L83"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</conditionalFormatting>
  <conditionalFormatting sqref="M83"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</conditionalFormatting>
  <conditionalFormatting sqref="XEV83">
    <cfRule type="duplicateValues" dxfId="0" priority="3664"/>
  </conditionalFormatting>
  <conditionalFormatting sqref="XFA83">
    <cfRule type="duplicateValues" dxfId="0" priority="3679"/>
  </conditionalFormatting>
  <conditionalFormatting sqref="A84">
    <cfRule type="duplicateValues" dxfId="0" priority="2263"/>
  </conditionalFormatting>
  <conditionalFormatting sqref="H84">
    <cfRule type="duplicateValues" dxfId="0" priority="2273"/>
    <cfRule type="duplicateValues" dxfId="0" priority="2283"/>
    <cfRule type="duplicateValues" dxfId="0" priority="2293"/>
    <cfRule type="duplicateValues" dxfId="0" priority="2303"/>
    <cfRule type="duplicateValues" dxfId="0" priority="2313"/>
    <cfRule type="duplicateValues" dxfId="0" priority="2323"/>
    <cfRule type="duplicateValues" dxfId="0" priority="2333"/>
    <cfRule type="duplicateValues" dxfId="0" priority="2343"/>
    <cfRule type="duplicateValues" dxfId="0" priority="2353"/>
    <cfRule type="duplicateValues" dxfId="0" priority="2363"/>
    <cfRule type="duplicateValues" dxfId="0" priority="2373"/>
    <cfRule type="duplicateValues" dxfId="0" priority="2383"/>
    <cfRule type="duplicateValues" dxfId="0" priority="2393"/>
    <cfRule type="duplicateValues" dxfId="0" priority="2403"/>
    <cfRule type="duplicateValues" dxfId="0" priority="2413"/>
    <cfRule type="duplicateValues" dxfId="0" priority="2423"/>
    <cfRule type="duplicateValues" dxfId="0" priority="2433"/>
    <cfRule type="duplicateValues" dxfId="0" priority="2443"/>
    <cfRule type="duplicateValues" dxfId="0" priority="2453"/>
    <cfRule type="duplicateValues" dxfId="0" priority="2463"/>
  </conditionalFormatting>
  <conditionalFormatting sqref="J84">
    <cfRule type="duplicateValues" dxfId="0" priority="2043"/>
    <cfRule type="duplicateValues" dxfId="0" priority="2053"/>
    <cfRule type="duplicateValues" dxfId="0" priority="2063"/>
    <cfRule type="duplicateValues" dxfId="0" priority="2073"/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</conditionalFormatting>
  <conditionalFormatting sqref="K84">
    <cfRule type="duplicateValues" dxfId="0" priority="1843"/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</conditionalFormatting>
  <conditionalFormatting sqref="L84">
    <cfRule type="duplicateValues" dxfId="0" priority="1443"/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</conditionalFormatting>
  <conditionalFormatting sqref="M84">
    <cfRule type="duplicateValues" dxfId="0" priority="1643"/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</conditionalFormatting>
  <conditionalFormatting sqref="XEV84">
    <cfRule type="duplicateValues" dxfId="0" priority="2243"/>
  </conditionalFormatting>
  <conditionalFormatting sqref="XFA84">
    <cfRule type="duplicateValues" dxfId="0" priority="2253"/>
  </conditionalFormatting>
  <conditionalFormatting sqref="A85">
    <cfRule type="duplicateValues" dxfId="0" priority="2262"/>
  </conditionalFormatting>
  <conditionalFormatting sqref="H85">
    <cfRule type="duplicateValues" dxfId="0" priority="2272"/>
    <cfRule type="duplicateValues" dxfId="0" priority="2282"/>
    <cfRule type="duplicateValues" dxfId="0" priority="2292"/>
    <cfRule type="duplicateValues" dxfId="0" priority="2302"/>
    <cfRule type="duplicateValues" dxfId="0" priority="2312"/>
    <cfRule type="duplicateValues" dxfId="0" priority="2322"/>
    <cfRule type="duplicateValues" dxfId="0" priority="2332"/>
    <cfRule type="duplicateValues" dxfId="0" priority="2342"/>
    <cfRule type="duplicateValues" dxfId="0" priority="2352"/>
    <cfRule type="duplicateValues" dxfId="0" priority="2362"/>
    <cfRule type="duplicateValues" dxfId="0" priority="2372"/>
    <cfRule type="duplicateValues" dxfId="0" priority="2382"/>
    <cfRule type="duplicateValues" dxfId="0" priority="2392"/>
    <cfRule type="duplicateValues" dxfId="0" priority="2402"/>
    <cfRule type="duplicateValues" dxfId="0" priority="2412"/>
    <cfRule type="duplicateValues" dxfId="0" priority="2422"/>
    <cfRule type="duplicateValues" dxfId="0" priority="2432"/>
    <cfRule type="duplicateValues" dxfId="0" priority="2442"/>
    <cfRule type="duplicateValues" dxfId="0" priority="2452"/>
    <cfRule type="duplicateValues" dxfId="0" priority="2462"/>
  </conditionalFormatting>
  <conditionalFormatting sqref="J85">
    <cfRule type="duplicateValues" dxfId="0" priority="2042"/>
    <cfRule type="duplicateValues" dxfId="0" priority="2052"/>
    <cfRule type="duplicateValues" dxfId="0" priority="2062"/>
    <cfRule type="duplicateValues" dxfId="0" priority="2072"/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</conditionalFormatting>
  <conditionalFormatting sqref="K85">
    <cfRule type="duplicateValues" dxfId="0" priority="1842"/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</conditionalFormatting>
  <conditionalFormatting sqref="L85">
    <cfRule type="duplicateValues" dxfId="0" priority="1442"/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</conditionalFormatting>
  <conditionalFormatting sqref="M85">
    <cfRule type="duplicateValues" dxfId="0" priority="1642"/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</conditionalFormatting>
  <conditionalFormatting sqref="XEV85">
    <cfRule type="duplicateValues" dxfId="0" priority="2242"/>
  </conditionalFormatting>
  <conditionalFormatting sqref="XFA85">
    <cfRule type="duplicateValues" dxfId="0" priority="2252"/>
  </conditionalFormatting>
  <conditionalFormatting sqref="A86">
    <cfRule type="duplicateValues" dxfId="0" priority="2261"/>
  </conditionalFormatting>
  <conditionalFormatting sqref="H86">
    <cfRule type="duplicateValues" dxfId="0" priority="2271"/>
    <cfRule type="duplicateValues" dxfId="0" priority="2281"/>
    <cfRule type="duplicateValues" dxfId="0" priority="2291"/>
    <cfRule type="duplicateValues" dxfId="0" priority="2301"/>
    <cfRule type="duplicateValues" dxfId="0" priority="2311"/>
    <cfRule type="duplicateValues" dxfId="0" priority="2321"/>
    <cfRule type="duplicateValues" dxfId="0" priority="2331"/>
    <cfRule type="duplicateValues" dxfId="0" priority="2341"/>
    <cfRule type="duplicateValues" dxfId="0" priority="2351"/>
    <cfRule type="duplicateValues" dxfId="0" priority="2361"/>
    <cfRule type="duplicateValues" dxfId="0" priority="2371"/>
    <cfRule type="duplicateValues" dxfId="0" priority="2381"/>
    <cfRule type="duplicateValues" dxfId="0" priority="2391"/>
    <cfRule type="duplicateValues" dxfId="0" priority="2401"/>
    <cfRule type="duplicateValues" dxfId="0" priority="2411"/>
    <cfRule type="duplicateValues" dxfId="0" priority="2421"/>
    <cfRule type="duplicateValues" dxfId="0" priority="2431"/>
    <cfRule type="duplicateValues" dxfId="0" priority="2441"/>
    <cfRule type="duplicateValues" dxfId="0" priority="2451"/>
    <cfRule type="duplicateValues" dxfId="0" priority="2461"/>
  </conditionalFormatting>
  <conditionalFormatting sqref="J86">
    <cfRule type="duplicateValues" dxfId="0" priority="2041"/>
    <cfRule type="duplicateValues" dxfId="0" priority="2051"/>
    <cfRule type="duplicateValues" dxfId="0" priority="2061"/>
    <cfRule type="duplicateValues" dxfId="0" priority="2071"/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</conditionalFormatting>
  <conditionalFormatting sqref="K86">
    <cfRule type="duplicateValues" dxfId="0" priority="1841"/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</conditionalFormatting>
  <conditionalFormatting sqref="L86">
    <cfRule type="duplicateValues" dxfId="0" priority="1441"/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</conditionalFormatting>
  <conditionalFormatting sqref="M86">
    <cfRule type="duplicateValues" dxfId="0" priority="1641"/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</conditionalFormatting>
  <conditionalFormatting sqref="XEV86">
    <cfRule type="duplicateValues" dxfId="0" priority="2241"/>
  </conditionalFormatting>
  <conditionalFormatting sqref="XFA86">
    <cfRule type="duplicateValues" dxfId="0" priority="2251"/>
  </conditionalFormatting>
  <conditionalFormatting sqref="A87">
    <cfRule type="duplicateValues" dxfId="0" priority="2260"/>
  </conditionalFormatting>
  <conditionalFormatting sqref="H87">
    <cfRule type="duplicateValues" dxfId="0" priority="2270"/>
    <cfRule type="duplicateValues" dxfId="0" priority="2280"/>
    <cfRule type="duplicateValues" dxfId="0" priority="2290"/>
    <cfRule type="duplicateValues" dxfId="0" priority="2300"/>
    <cfRule type="duplicateValues" dxfId="0" priority="2310"/>
    <cfRule type="duplicateValues" dxfId="0" priority="2320"/>
    <cfRule type="duplicateValues" dxfId="0" priority="2330"/>
    <cfRule type="duplicateValues" dxfId="0" priority="2340"/>
    <cfRule type="duplicateValues" dxfId="0" priority="2350"/>
    <cfRule type="duplicateValues" dxfId="0" priority="2360"/>
    <cfRule type="duplicateValues" dxfId="0" priority="2370"/>
    <cfRule type="duplicateValues" dxfId="0" priority="2380"/>
    <cfRule type="duplicateValues" dxfId="0" priority="2390"/>
    <cfRule type="duplicateValues" dxfId="0" priority="2400"/>
    <cfRule type="duplicateValues" dxfId="0" priority="2410"/>
    <cfRule type="duplicateValues" dxfId="0" priority="2420"/>
    <cfRule type="duplicateValues" dxfId="0" priority="2430"/>
    <cfRule type="duplicateValues" dxfId="0" priority="2440"/>
    <cfRule type="duplicateValues" dxfId="0" priority="2450"/>
    <cfRule type="duplicateValues" dxfId="0" priority="2460"/>
  </conditionalFormatting>
  <conditionalFormatting sqref="J87">
    <cfRule type="duplicateValues" dxfId="0" priority="2040"/>
    <cfRule type="duplicateValues" dxfId="0" priority="2050"/>
    <cfRule type="duplicateValues" dxfId="0" priority="2060"/>
    <cfRule type="duplicateValues" dxfId="0" priority="2070"/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</conditionalFormatting>
  <conditionalFormatting sqref="K87">
    <cfRule type="duplicateValues" dxfId="0" priority="1840"/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</conditionalFormatting>
  <conditionalFormatting sqref="L87">
    <cfRule type="duplicateValues" dxfId="0" priority="1440"/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</conditionalFormatting>
  <conditionalFormatting sqref="M87">
    <cfRule type="duplicateValues" dxfId="0" priority="1640"/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</conditionalFormatting>
  <conditionalFormatting sqref="XEV87">
    <cfRule type="duplicateValues" dxfId="0" priority="2240"/>
  </conditionalFormatting>
  <conditionalFormatting sqref="XFA87">
    <cfRule type="duplicateValues" dxfId="0" priority="2250"/>
  </conditionalFormatting>
  <conditionalFormatting sqref="A88">
    <cfRule type="duplicateValues" dxfId="0" priority="2259"/>
  </conditionalFormatting>
  <conditionalFormatting sqref="H88">
    <cfRule type="duplicateValues" dxfId="0" priority="2269"/>
    <cfRule type="duplicateValues" dxfId="0" priority="2279"/>
    <cfRule type="duplicateValues" dxfId="0" priority="2289"/>
    <cfRule type="duplicateValues" dxfId="0" priority="2299"/>
    <cfRule type="duplicateValues" dxfId="0" priority="2309"/>
    <cfRule type="duplicateValues" dxfId="0" priority="2319"/>
    <cfRule type="duplicateValues" dxfId="0" priority="2329"/>
    <cfRule type="duplicateValues" dxfId="0" priority="2339"/>
    <cfRule type="duplicateValues" dxfId="0" priority="2349"/>
    <cfRule type="duplicateValues" dxfId="0" priority="2359"/>
    <cfRule type="duplicateValues" dxfId="0" priority="2369"/>
    <cfRule type="duplicateValues" dxfId="0" priority="2379"/>
    <cfRule type="duplicateValues" dxfId="0" priority="2389"/>
    <cfRule type="duplicateValues" dxfId="0" priority="2399"/>
    <cfRule type="duplicateValues" dxfId="0" priority="2409"/>
    <cfRule type="duplicateValues" dxfId="0" priority="2419"/>
    <cfRule type="duplicateValues" dxfId="0" priority="2429"/>
    <cfRule type="duplicateValues" dxfId="0" priority="2439"/>
    <cfRule type="duplicateValues" dxfId="0" priority="2449"/>
    <cfRule type="duplicateValues" dxfId="0" priority="2459"/>
  </conditionalFormatting>
  <conditionalFormatting sqref="J88">
    <cfRule type="duplicateValues" dxfId="0" priority="2039"/>
    <cfRule type="duplicateValues" dxfId="0" priority="2049"/>
    <cfRule type="duplicateValues" dxfId="0" priority="2059"/>
    <cfRule type="duplicateValues" dxfId="0" priority="2069"/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</conditionalFormatting>
  <conditionalFormatting sqref="K88">
    <cfRule type="duplicateValues" dxfId="0" priority="1839"/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</conditionalFormatting>
  <conditionalFormatting sqref="L88">
    <cfRule type="duplicateValues" dxfId="0" priority="1439"/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</conditionalFormatting>
  <conditionalFormatting sqref="M88">
    <cfRule type="duplicateValues" dxfId="0" priority="1639"/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</conditionalFormatting>
  <conditionalFormatting sqref="XEV88">
    <cfRule type="duplicateValues" dxfId="0" priority="2239"/>
  </conditionalFormatting>
  <conditionalFormatting sqref="XFA88">
    <cfRule type="duplicateValues" dxfId="0" priority="2249"/>
  </conditionalFormatting>
  <conditionalFormatting sqref="A89">
    <cfRule type="duplicateValues" dxfId="0" priority="2258"/>
  </conditionalFormatting>
  <conditionalFormatting sqref="H89">
    <cfRule type="duplicateValues" dxfId="0" priority="2268"/>
    <cfRule type="duplicateValues" dxfId="0" priority="2278"/>
    <cfRule type="duplicateValues" dxfId="0" priority="2288"/>
    <cfRule type="duplicateValues" dxfId="0" priority="2298"/>
    <cfRule type="duplicateValues" dxfId="0" priority="2308"/>
    <cfRule type="duplicateValues" dxfId="0" priority="2318"/>
    <cfRule type="duplicateValues" dxfId="0" priority="2328"/>
    <cfRule type="duplicateValues" dxfId="0" priority="2338"/>
    <cfRule type="duplicateValues" dxfId="0" priority="2348"/>
    <cfRule type="duplicateValues" dxfId="0" priority="2358"/>
    <cfRule type="duplicateValues" dxfId="0" priority="2368"/>
    <cfRule type="duplicateValues" dxfId="0" priority="2378"/>
    <cfRule type="duplicateValues" dxfId="0" priority="2388"/>
    <cfRule type="duplicateValues" dxfId="0" priority="2398"/>
    <cfRule type="duplicateValues" dxfId="0" priority="2408"/>
    <cfRule type="duplicateValues" dxfId="0" priority="2418"/>
    <cfRule type="duplicateValues" dxfId="0" priority="2428"/>
    <cfRule type="duplicateValues" dxfId="0" priority="2438"/>
    <cfRule type="duplicateValues" dxfId="0" priority="2448"/>
    <cfRule type="duplicateValues" dxfId="0" priority="2458"/>
  </conditionalFormatting>
  <conditionalFormatting sqref="J89">
    <cfRule type="duplicateValues" dxfId="0" priority="2038"/>
    <cfRule type="duplicateValues" dxfId="0" priority="2048"/>
    <cfRule type="duplicateValues" dxfId="0" priority="2058"/>
    <cfRule type="duplicateValues" dxfId="0" priority="2068"/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</conditionalFormatting>
  <conditionalFormatting sqref="K89">
    <cfRule type="duplicateValues" dxfId="0" priority="1838"/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</conditionalFormatting>
  <conditionalFormatting sqref="L89">
    <cfRule type="duplicateValues" dxfId="0" priority="1438"/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</conditionalFormatting>
  <conditionalFormatting sqref="M89">
    <cfRule type="duplicateValues" dxfId="0" priority="1638"/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</conditionalFormatting>
  <conditionalFormatting sqref="XEV89">
    <cfRule type="duplicateValues" dxfId="0" priority="2238"/>
  </conditionalFormatting>
  <conditionalFormatting sqref="XFA89">
    <cfRule type="duplicateValues" dxfId="0" priority="2248"/>
  </conditionalFormatting>
  <conditionalFormatting sqref="A90">
    <cfRule type="duplicateValues" dxfId="0" priority="2257"/>
  </conditionalFormatting>
  <conditionalFormatting sqref="H90">
    <cfRule type="duplicateValues" dxfId="0" priority="2267"/>
    <cfRule type="duplicateValues" dxfId="0" priority="2277"/>
    <cfRule type="duplicateValues" dxfId="0" priority="2287"/>
    <cfRule type="duplicateValues" dxfId="0" priority="2297"/>
    <cfRule type="duplicateValues" dxfId="0" priority="2307"/>
    <cfRule type="duplicateValues" dxfId="0" priority="2317"/>
    <cfRule type="duplicateValues" dxfId="0" priority="2327"/>
    <cfRule type="duplicateValues" dxfId="0" priority="2337"/>
    <cfRule type="duplicateValues" dxfId="0" priority="2347"/>
    <cfRule type="duplicateValues" dxfId="0" priority="2357"/>
    <cfRule type="duplicateValues" dxfId="0" priority="2367"/>
    <cfRule type="duplicateValues" dxfId="0" priority="2377"/>
    <cfRule type="duplicateValues" dxfId="0" priority="2387"/>
    <cfRule type="duplicateValues" dxfId="0" priority="2397"/>
    <cfRule type="duplicateValues" dxfId="0" priority="2407"/>
    <cfRule type="duplicateValues" dxfId="0" priority="2417"/>
    <cfRule type="duplicateValues" dxfId="0" priority="2427"/>
    <cfRule type="duplicateValues" dxfId="0" priority="2437"/>
    <cfRule type="duplicateValues" dxfId="0" priority="2447"/>
    <cfRule type="duplicateValues" dxfId="0" priority="2457"/>
  </conditionalFormatting>
  <conditionalFormatting sqref="J90">
    <cfRule type="duplicateValues" dxfId="0" priority="2037"/>
    <cfRule type="duplicateValues" dxfId="0" priority="2047"/>
    <cfRule type="duplicateValues" dxfId="0" priority="2057"/>
    <cfRule type="duplicateValues" dxfId="0" priority="2067"/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</conditionalFormatting>
  <conditionalFormatting sqref="K90">
    <cfRule type="duplicateValues" dxfId="0" priority="1837"/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</conditionalFormatting>
  <conditionalFormatting sqref="L90">
    <cfRule type="duplicateValues" dxfId="0" priority="1437"/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</conditionalFormatting>
  <conditionalFormatting sqref="M90">
    <cfRule type="duplicateValues" dxfId="0" priority="1637"/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</conditionalFormatting>
  <conditionalFormatting sqref="XEV90">
    <cfRule type="duplicateValues" dxfId="0" priority="2237"/>
  </conditionalFormatting>
  <conditionalFormatting sqref="XFA90">
    <cfRule type="duplicateValues" dxfId="0" priority="2247"/>
  </conditionalFormatting>
  <conditionalFormatting sqref="A91">
    <cfRule type="duplicateValues" dxfId="0" priority="2256"/>
  </conditionalFormatting>
  <conditionalFormatting sqref="H91">
    <cfRule type="duplicateValues" dxfId="0" priority="2266"/>
    <cfRule type="duplicateValues" dxfId="0" priority="2276"/>
    <cfRule type="duplicateValues" dxfId="0" priority="2286"/>
    <cfRule type="duplicateValues" dxfId="0" priority="2296"/>
    <cfRule type="duplicateValues" dxfId="0" priority="2306"/>
    <cfRule type="duplicateValues" dxfId="0" priority="2316"/>
    <cfRule type="duplicateValues" dxfId="0" priority="2326"/>
    <cfRule type="duplicateValues" dxfId="0" priority="2336"/>
    <cfRule type="duplicateValues" dxfId="0" priority="2346"/>
    <cfRule type="duplicateValues" dxfId="0" priority="2356"/>
    <cfRule type="duplicateValues" dxfId="0" priority="2366"/>
    <cfRule type="duplicateValues" dxfId="0" priority="2376"/>
    <cfRule type="duplicateValues" dxfId="0" priority="2386"/>
    <cfRule type="duplicateValues" dxfId="0" priority="2396"/>
    <cfRule type="duplicateValues" dxfId="0" priority="2406"/>
    <cfRule type="duplicateValues" dxfId="0" priority="2416"/>
    <cfRule type="duplicateValues" dxfId="0" priority="2426"/>
    <cfRule type="duplicateValues" dxfId="0" priority="2436"/>
    <cfRule type="duplicateValues" dxfId="0" priority="2446"/>
    <cfRule type="duplicateValues" dxfId="0" priority="2456"/>
  </conditionalFormatting>
  <conditionalFormatting sqref="J91">
    <cfRule type="duplicateValues" dxfId="0" priority="2036"/>
    <cfRule type="duplicateValues" dxfId="0" priority="2046"/>
    <cfRule type="duplicateValues" dxfId="0" priority="2056"/>
    <cfRule type="duplicateValues" dxfId="0" priority="2066"/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</conditionalFormatting>
  <conditionalFormatting sqref="K91">
    <cfRule type="duplicateValues" dxfId="0" priority="1836"/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</conditionalFormatting>
  <conditionalFormatting sqref="L91">
    <cfRule type="duplicateValues" dxfId="0" priority="1436"/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</conditionalFormatting>
  <conditionalFormatting sqref="M91">
    <cfRule type="duplicateValues" dxfId="0" priority="1636"/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</conditionalFormatting>
  <conditionalFormatting sqref="XEV91">
    <cfRule type="duplicateValues" dxfId="0" priority="2236"/>
  </conditionalFormatting>
  <conditionalFormatting sqref="XFA91">
    <cfRule type="duplicateValues" dxfId="0" priority="2246"/>
  </conditionalFormatting>
  <conditionalFormatting sqref="A92">
    <cfRule type="duplicateValues" dxfId="0" priority="2255"/>
  </conditionalFormatting>
  <conditionalFormatting sqref="H92">
    <cfRule type="duplicateValues" dxfId="0" priority="2265"/>
    <cfRule type="duplicateValues" dxfId="0" priority="2275"/>
    <cfRule type="duplicateValues" dxfId="0" priority="2285"/>
    <cfRule type="duplicateValues" dxfId="0" priority="2295"/>
    <cfRule type="duplicateValues" dxfId="0" priority="2305"/>
    <cfRule type="duplicateValues" dxfId="0" priority="2315"/>
    <cfRule type="duplicateValues" dxfId="0" priority="2325"/>
    <cfRule type="duplicateValues" dxfId="0" priority="2335"/>
    <cfRule type="duplicateValues" dxfId="0" priority="2345"/>
    <cfRule type="duplicateValues" dxfId="0" priority="2355"/>
    <cfRule type="duplicateValues" dxfId="0" priority="2365"/>
    <cfRule type="duplicateValues" dxfId="0" priority="2375"/>
    <cfRule type="duplicateValues" dxfId="0" priority="2385"/>
    <cfRule type="duplicateValues" dxfId="0" priority="2395"/>
    <cfRule type="duplicateValues" dxfId="0" priority="2405"/>
    <cfRule type="duplicateValues" dxfId="0" priority="2415"/>
    <cfRule type="duplicateValues" dxfId="0" priority="2425"/>
    <cfRule type="duplicateValues" dxfId="0" priority="2435"/>
    <cfRule type="duplicateValues" dxfId="0" priority="2445"/>
    <cfRule type="duplicateValues" dxfId="0" priority="2455"/>
  </conditionalFormatting>
  <conditionalFormatting sqref="J92">
    <cfRule type="duplicateValues" dxfId="0" priority="2035"/>
    <cfRule type="duplicateValues" dxfId="0" priority="2045"/>
    <cfRule type="duplicateValues" dxfId="0" priority="2055"/>
    <cfRule type="duplicateValues" dxfId="0" priority="2065"/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</conditionalFormatting>
  <conditionalFormatting sqref="K92">
    <cfRule type="duplicateValues" dxfId="0" priority="1835"/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</conditionalFormatting>
  <conditionalFormatting sqref="L92">
    <cfRule type="duplicateValues" dxfId="0" priority="1435"/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</conditionalFormatting>
  <conditionalFormatting sqref="M92">
    <cfRule type="duplicateValues" dxfId="0" priority="1635"/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</conditionalFormatting>
  <conditionalFormatting sqref="XEV92">
    <cfRule type="duplicateValues" dxfId="0" priority="2235"/>
  </conditionalFormatting>
  <conditionalFormatting sqref="XFA92">
    <cfRule type="duplicateValues" dxfId="0" priority="2245"/>
  </conditionalFormatting>
  <conditionalFormatting sqref="A93">
    <cfRule type="duplicateValues" dxfId="0" priority="2254"/>
  </conditionalFormatting>
  <conditionalFormatting sqref="H93">
    <cfRule type="duplicateValues" dxfId="0" priority="2264"/>
    <cfRule type="duplicateValues" dxfId="0" priority="2274"/>
    <cfRule type="duplicateValues" dxfId="0" priority="2284"/>
    <cfRule type="duplicateValues" dxfId="0" priority="2294"/>
    <cfRule type="duplicateValues" dxfId="0" priority="2304"/>
    <cfRule type="duplicateValues" dxfId="0" priority="2314"/>
    <cfRule type="duplicateValues" dxfId="0" priority="2324"/>
    <cfRule type="duplicateValues" dxfId="0" priority="2334"/>
    <cfRule type="duplicateValues" dxfId="0" priority="2344"/>
    <cfRule type="duplicateValues" dxfId="0" priority="2354"/>
    <cfRule type="duplicateValues" dxfId="0" priority="2364"/>
    <cfRule type="duplicateValues" dxfId="0" priority="2374"/>
    <cfRule type="duplicateValues" dxfId="0" priority="2384"/>
    <cfRule type="duplicateValues" dxfId="0" priority="2394"/>
    <cfRule type="duplicateValues" dxfId="0" priority="2404"/>
    <cfRule type="duplicateValues" dxfId="0" priority="2414"/>
    <cfRule type="duplicateValues" dxfId="0" priority="2424"/>
    <cfRule type="duplicateValues" dxfId="0" priority="2434"/>
    <cfRule type="duplicateValues" dxfId="0" priority="2444"/>
    <cfRule type="duplicateValues" dxfId="0" priority="2454"/>
  </conditionalFormatting>
  <conditionalFormatting sqref="J93">
    <cfRule type="duplicateValues" dxfId="0" priority="2034"/>
    <cfRule type="duplicateValues" dxfId="0" priority="2044"/>
    <cfRule type="duplicateValues" dxfId="0" priority="2054"/>
    <cfRule type="duplicateValues" dxfId="0" priority="2064"/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</conditionalFormatting>
  <conditionalFormatting sqref="K93">
    <cfRule type="duplicateValues" dxfId="0" priority="1834"/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</conditionalFormatting>
  <conditionalFormatting sqref="L93">
    <cfRule type="duplicateValues" dxfId="0" priority="1434"/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</conditionalFormatting>
  <conditionalFormatting sqref="M93">
    <cfRule type="duplicateValues" dxfId="0" priority="1634"/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</conditionalFormatting>
  <conditionalFormatting sqref="XEV93">
    <cfRule type="duplicateValues" dxfId="0" priority="2234"/>
  </conditionalFormatting>
  <conditionalFormatting sqref="XFA93">
    <cfRule type="duplicateValues" dxfId="0" priority="2244"/>
  </conditionalFormatting>
  <conditionalFormatting sqref="A94">
    <cfRule type="duplicateValues" dxfId="0" priority="1333"/>
  </conditionalFormatting>
  <conditionalFormatting sqref="H94">
    <cfRule type="duplicateValues" dxfId="0" priority="1338"/>
    <cfRule type="duplicateValues" dxfId="0" priority="1343"/>
    <cfRule type="duplicateValues" dxfId="0" priority="1348"/>
    <cfRule type="duplicateValues" dxfId="0" priority="1353"/>
    <cfRule type="duplicateValues" dxfId="0" priority="1358"/>
    <cfRule type="duplicateValues" dxfId="0" priority="1363"/>
    <cfRule type="duplicateValues" dxfId="0" priority="1368"/>
    <cfRule type="duplicateValues" dxfId="0" priority="1373"/>
    <cfRule type="duplicateValues" dxfId="0" priority="1378"/>
    <cfRule type="duplicateValues" dxfId="0" priority="1383"/>
    <cfRule type="duplicateValues" dxfId="0" priority="1388"/>
    <cfRule type="duplicateValues" dxfId="0" priority="1393"/>
    <cfRule type="duplicateValues" dxfId="0" priority="1398"/>
    <cfRule type="duplicateValues" dxfId="0" priority="1403"/>
    <cfRule type="duplicateValues" dxfId="0" priority="1408"/>
    <cfRule type="duplicateValues" dxfId="0" priority="1413"/>
    <cfRule type="duplicateValues" dxfId="0" priority="1418"/>
    <cfRule type="duplicateValues" dxfId="0" priority="1423"/>
    <cfRule type="duplicateValues" dxfId="0" priority="1428"/>
    <cfRule type="duplicateValues" dxfId="0" priority="1433"/>
  </conditionalFormatting>
  <conditionalFormatting sqref="J94"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  <cfRule type="duplicateValues" dxfId="0" priority="1248"/>
    <cfRule type="duplicateValues" dxfId="0" priority="1253"/>
    <cfRule type="duplicateValues" dxfId="0" priority="1258"/>
    <cfRule type="duplicateValues" dxfId="0" priority="1263"/>
    <cfRule type="duplicateValues" dxfId="0" priority="1268"/>
    <cfRule type="duplicateValues" dxfId="0" priority="1273"/>
    <cfRule type="duplicateValues" dxfId="0" priority="1278"/>
    <cfRule type="duplicateValues" dxfId="0" priority="1283"/>
    <cfRule type="duplicateValues" dxfId="0" priority="1288"/>
    <cfRule type="duplicateValues" dxfId="0" priority="1293"/>
    <cfRule type="duplicateValues" dxfId="0" priority="1298"/>
    <cfRule type="duplicateValues" dxfId="0" priority="1303"/>
    <cfRule type="duplicateValues" dxfId="0" priority="1308"/>
    <cfRule type="duplicateValues" dxfId="0" priority="1313"/>
    <cfRule type="duplicateValues" dxfId="0" priority="1318"/>
  </conditionalFormatting>
  <conditionalFormatting sqref="K94">
    <cfRule type="duplicateValues" dxfId="0" priority="1123"/>
    <cfRule type="duplicateValues" dxfId="0" priority="1128"/>
    <cfRule type="duplicateValues" dxfId="0" priority="1133"/>
    <cfRule type="duplicateValues" dxfId="0" priority="1138"/>
    <cfRule type="duplicateValues" dxfId="0" priority="1143"/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</conditionalFormatting>
  <conditionalFormatting sqref="L94">
    <cfRule type="duplicateValues" dxfId="0" priority="923"/>
    <cfRule type="duplicateValues" dxfId="0" priority="928"/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</conditionalFormatting>
  <conditionalFormatting sqref="M94">
    <cfRule type="duplicateValues" dxfId="0" priority="1023"/>
    <cfRule type="duplicateValues" dxfId="0" priority="1028"/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</conditionalFormatting>
  <conditionalFormatting sqref="XEV94">
    <cfRule type="duplicateValues" dxfId="0" priority="1323"/>
  </conditionalFormatting>
  <conditionalFormatting sqref="XFA94">
    <cfRule type="duplicateValues" dxfId="0" priority="1328"/>
  </conditionalFormatting>
  <conditionalFormatting sqref="A95">
    <cfRule type="duplicateValues" dxfId="0" priority="1332"/>
  </conditionalFormatting>
  <conditionalFormatting sqref="H95">
    <cfRule type="duplicateValues" dxfId="0" priority="1337"/>
    <cfRule type="duplicateValues" dxfId="0" priority="1342"/>
    <cfRule type="duplicateValues" dxfId="0" priority="1347"/>
    <cfRule type="duplicateValues" dxfId="0" priority="1352"/>
    <cfRule type="duplicateValues" dxfId="0" priority="1357"/>
    <cfRule type="duplicateValues" dxfId="0" priority="1362"/>
    <cfRule type="duplicateValues" dxfId="0" priority="1367"/>
    <cfRule type="duplicateValues" dxfId="0" priority="1372"/>
    <cfRule type="duplicateValues" dxfId="0" priority="1377"/>
    <cfRule type="duplicateValues" dxfId="0" priority="1382"/>
    <cfRule type="duplicateValues" dxfId="0" priority="1387"/>
    <cfRule type="duplicateValues" dxfId="0" priority="1392"/>
    <cfRule type="duplicateValues" dxfId="0" priority="1397"/>
    <cfRule type="duplicateValues" dxfId="0" priority="1402"/>
    <cfRule type="duplicateValues" dxfId="0" priority="1407"/>
    <cfRule type="duplicateValues" dxfId="0" priority="1412"/>
    <cfRule type="duplicateValues" dxfId="0" priority="1417"/>
    <cfRule type="duplicateValues" dxfId="0" priority="1422"/>
    <cfRule type="duplicateValues" dxfId="0" priority="1427"/>
    <cfRule type="duplicateValues" dxfId="0" priority="1432"/>
  </conditionalFormatting>
  <conditionalFormatting sqref="J95"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</conditionalFormatting>
  <conditionalFormatting sqref="K95"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</conditionalFormatting>
  <conditionalFormatting sqref="L95"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</conditionalFormatting>
  <conditionalFormatting sqref="M95"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</conditionalFormatting>
  <conditionalFormatting sqref="XEV95">
    <cfRule type="duplicateValues" dxfId="0" priority="1322"/>
  </conditionalFormatting>
  <conditionalFormatting sqref="XFA95">
    <cfRule type="duplicateValues" dxfId="0" priority="1327"/>
  </conditionalFormatting>
  <conditionalFormatting sqref="A96">
    <cfRule type="duplicateValues" dxfId="0" priority="1331"/>
  </conditionalFormatting>
  <conditionalFormatting sqref="H96">
    <cfRule type="duplicateValues" dxfId="0" priority="1336"/>
    <cfRule type="duplicateValues" dxfId="0" priority="1341"/>
    <cfRule type="duplicateValues" dxfId="0" priority="1346"/>
    <cfRule type="duplicateValues" dxfId="0" priority="1351"/>
    <cfRule type="duplicateValues" dxfId="0" priority="1356"/>
    <cfRule type="duplicateValues" dxfId="0" priority="1361"/>
    <cfRule type="duplicateValues" dxfId="0" priority="1366"/>
    <cfRule type="duplicateValues" dxfId="0" priority="1371"/>
    <cfRule type="duplicateValues" dxfId="0" priority="1376"/>
    <cfRule type="duplicateValues" dxfId="0" priority="1381"/>
    <cfRule type="duplicateValues" dxfId="0" priority="1386"/>
    <cfRule type="duplicateValues" dxfId="0" priority="1391"/>
    <cfRule type="duplicateValues" dxfId="0" priority="1396"/>
    <cfRule type="duplicateValues" dxfId="0" priority="1401"/>
    <cfRule type="duplicateValues" dxfId="0" priority="1406"/>
    <cfRule type="duplicateValues" dxfId="0" priority="1411"/>
    <cfRule type="duplicateValues" dxfId="0" priority="1416"/>
    <cfRule type="duplicateValues" dxfId="0" priority="1421"/>
    <cfRule type="duplicateValues" dxfId="0" priority="1426"/>
    <cfRule type="duplicateValues" dxfId="0" priority="1431"/>
  </conditionalFormatting>
  <conditionalFormatting sqref="J96"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</conditionalFormatting>
  <conditionalFormatting sqref="K96"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</conditionalFormatting>
  <conditionalFormatting sqref="L96"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</conditionalFormatting>
  <conditionalFormatting sqref="M96"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</conditionalFormatting>
  <conditionalFormatting sqref="XEV96">
    <cfRule type="duplicateValues" dxfId="0" priority="1321"/>
  </conditionalFormatting>
  <conditionalFormatting sqref="XFA96">
    <cfRule type="duplicateValues" dxfId="0" priority="1326"/>
  </conditionalFormatting>
  <conditionalFormatting sqref="A97">
    <cfRule type="duplicateValues" dxfId="0" priority="1330"/>
  </conditionalFormatting>
  <conditionalFormatting sqref="H97">
    <cfRule type="duplicateValues" dxfId="0" priority="1335"/>
    <cfRule type="duplicateValues" dxfId="0" priority="1340"/>
    <cfRule type="duplicateValues" dxfId="0" priority="1345"/>
    <cfRule type="duplicateValues" dxfId="0" priority="1350"/>
    <cfRule type="duplicateValues" dxfId="0" priority="1355"/>
    <cfRule type="duplicateValues" dxfId="0" priority="1360"/>
    <cfRule type="duplicateValues" dxfId="0" priority="1365"/>
    <cfRule type="duplicateValues" dxfId="0" priority="1370"/>
    <cfRule type="duplicateValues" dxfId="0" priority="1375"/>
    <cfRule type="duplicateValues" dxfId="0" priority="1380"/>
    <cfRule type="duplicateValues" dxfId="0" priority="1385"/>
    <cfRule type="duplicateValues" dxfId="0" priority="1390"/>
    <cfRule type="duplicateValues" dxfId="0" priority="1395"/>
    <cfRule type="duplicateValues" dxfId="0" priority="1400"/>
    <cfRule type="duplicateValues" dxfId="0" priority="1405"/>
    <cfRule type="duplicateValues" dxfId="0" priority="1410"/>
    <cfRule type="duplicateValues" dxfId="0" priority="1415"/>
    <cfRule type="duplicateValues" dxfId="0" priority="1420"/>
    <cfRule type="duplicateValues" dxfId="0" priority="1425"/>
    <cfRule type="duplicateValues" dxfId="0" priority="1430"/>
  </conditionalFormatting>
  <conditionalFormatting sqref="J97"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  <cfRule type="duplicateValues" dxfId="0" priority="1245"/>
    <cfRule type="duplicateValues" dxfId="0" priority="1250"/>
    <cfRule type="duplicateValues" dxfId="0" priority="1255"/>
    <cfRule type="duplicateValues" dxfId="0" priority="1260"/>
    <cfRule type="duplicateValues" dxfId="0" priority="1265"/>
    <cfRule type="duplicateValues" dxfId="0" priority="1270"/>
    <cfRule type="duplicateValues" dxfId="0" priority="1275"/>
    <cfRule type="duplicateValues" dxfId="0" priority="1280"/>
    <cfRule type="duplicateValues" dxfId="0" priority="1285"/>
    <cfRule type="duplicateValues" dxfId="0" priority="1290"/>
    <cfRule type="duplicateValues" dxfId="0" priority="1295"/>
    <cfRule type="duplicateValues" dxfId="0" priority="1300"/>
    <cfRule type="duplicateValues" dxfId="0" priority="1305"/>
    <cfRule type="duplicateValues" dxfId="0" priority="1310"/>
    <cfRule type="duplicateValues" dxfId="0" priority="1315"/>
  </conditionalFormatting>
  <conditionalFormatting sqref="K97">
    <cfRule type="duplicateValues" dxfId="0" priority="1120"/>
    <cfRule type="duplicateValues" dxfId="0" priority="1125"/>
    <cfRule type="duplicateValues" dxfId="0" priority="1130"/>
    <cfRule type="duplicateValues" dxfId="0" priority="1135"/>
    <cfRule type="duplicateValues" dxfId="0" priority="1140"/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</conditionalFormatting>
  <conditionalFormatting sqref="L97">
    <cfRule type="duplicateValues" dxfId="0" priority="920"/>
    <cfRule type="duplicateValues" dxfId="0" priority="925"/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</conditionalFormatting>
  <conditionalFormatting sqref="M97">
    <cfRule type="duplicateValues" dxfId="0" priority="1020"/>
    <cfRule type="duplicateValues" dxfId="0" priority="1025"/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</conditionalFormatting>
  <conditionalFormatting sqref="XEV97">
    <cfRule type="duplicateValues" dxfId="0" priority="1320"/>
  </conditionalFormatting>
  <conditionalFormatting sqref="XFA97">
    <cfRule type="duplicateValues" dxfId="0" priority="1325"/>
  </conditionalFormatting>
  <conditionalFormatting sqref="A98">
    <cfRule type="duplicateValues" dxfId="0" priority="1329"/>
  </conditionalFormatting>
  <conditionalFormatting sqref="H98">
    <cfRule type="duplicateValues" dxfId="0" priority="1334"/>
    <cfRule type="duplicateValues" dxfId="0" priority="1339"/>
    <cfRule type="duplicateValues" dxfId="0" priority="1344"/>
    <cfRule type="duplicateValues" dxfId="0" priority="1349"/>
    <cfRule type="duplicateValues" dxfId="0" priority="1354"/>
    <cfRule type="duplicateValues" dxfId="0" priority="1359"/>
    <cfRule type="duplicateValues" dxfId="0" priority="1364"/>
    <cfRule type="duplicateValues" dxfId="0" priority="1369"/>
    <cfRule type="duplicateValues" dxfId="0" priority="1374"/>
    <cfRule type="duplicateValues" dxfId="0" priority="1379"/>
    <cfRule type="duplicateValues" dxfId="0" priority="1384"/>
    <cfRule type="duplicateValues" dxfId="0" priority="1389"/>
    <cfRule type="duplicateValues" dxfId="0" priority="1394"/>
    <cfRule type="duplicateValues" dxfId="0" priority="1399"/>
    <cfRule type="duplicateValues" dxfId="0" priority="1404"/>
    <cfRule type="duplicateValues" dxfId="0" priority="1409"/>
    <cfRule type="duplicateValues" dxfId="0" priority="1414"/>
    <cfRule type="duplicateValues" dxfId="0" priority="1419"/>
    <cfRule type="duplicateValues" dxfId="0" priority="1424"/>
    <cfRule type="duplicateValues" dxfId="0" priority="1429"/>
  </conditionalFormatting>
  <conditionalFormatting sqref="J98"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</conditionalFormatting>
  <conditionalFormatting sqref="K98"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</conditionalFormatting>
  <conditionalFormatting sqref="L98"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</conditionalFormatting>
  <conditionalFormatting sqref="M98"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</conditionalFormatting>
  <conditionalFormatting sqref="XEV98">
    <cfRule type="duplicateValues" dxfId="0" priority="1319"/>
  </conditionalFormatting>
  <conditionalFormatting sqref="XFA98">
    <cfRule type="duplicateValues" dxfId="0" priority="1324"/>
  </conditionalFormatting>
  <conditionalFormatting sqref="A99">
    <cfRule type="duplicateValues" dxfId="0" priority="778"/>
  </conditionalFormatting>
  <conditionalFormatting sqref="H99">
    <cfRule type="duplicateValues" dxfId="0" priority="785"/>
    <cfRule type="duplicateValues" dxfId="0" priority="792"/>
    <cfRule type="duplicateValues" dxfId="0" priority="799"/>
    <cfRule type="duplicateValues" dxfId="0" priority="806"/>
    <cfRule type="duplicateValues" dxfId="0" priority="813"/>
    <cfRule type="duplicateValues" dxfId="0" priority="820"/>
    <cfRule type="duplicateValues" dxfId="0" priority="827"/>
    <cfRule type="duplicateValues" dxfId="0" priority="834"/>
    <cfRule type="duplicateValues" dxfId="0" priority="841"/>
    <cfRule type="duplicateValues" dxfId="0" priority="848"/>
    <cfRule type="duplicateValues" dxfId="0" priority="855"/>
    <cfRule type="duplicateValues" dxfId="0" priority="862"/>
    <cfRule type="duplicateValues" dxfId="0" priority="869"/>
    <cfRule type="duplicateValues" dxfId="0" priority="876"/>
    <cfRule type="duplicateValues" dxfId="0" priority="883"/>
    <cfRule type="duplicateValues" dxfId="0" priority="890"/>
    <cfRule type="duplicateValues" dxfId="0" priority="897"/>
    <cfRule type="duplicateValues" dxfId="0" priority="904"/>
    <cfRule type="duplicateValues" dxfId="0" priority="911"/>
    <cfRule type="duplicateValues" dxfId="0" priority="918"/>
  </conditionalFormatting>
  <conditionalFormatting sqref="J99"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  <cfRule type="duplicateValues" dxfId="0" priority="729"/>
    <cfRule type="duplicateValues" dxfId="0" priority="736"/>
    <cfRule type="duplicateValues" dxfId="0" priority="743"/>
    <cfRule type="duplicateValues" dxfId="0" priority="750"/>
  </conditionalFormatting>
  <conditionalFormatting sqref="K99"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  <cfRule type="duplicateValues" dxfId="0" priority="561"/>
    <cfRule type="duplicateValues" dxfId="0" priority="568"/>
    <cfRule type="duplicateValues" dxfId="0" priority="575"/>
    <cfRule type="duplicateValues" dxfId="0" priority="582"/>
    <cfRule type="duplicateValues" dxfId="0" priority="589"/>
    <cfRule type="duplicateValues" dxfId="0" priority="596"/>
    <cfRule type="duplicateValues" dxfId="0" priority="603"/>
    <cfRule type="duplicateValues" dxfId="0" priority="610"/>
  </conditionalFormatting>
  <conditionalFormatting sqref="L99"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</conditionalFormatting>
  <conditionalFormatting sqref="M99"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</conditionalFormatting>
  <conditionalFormatting sqref="XET99">
    <cfRule type="duplicateValues" dxfId="0" priority="757"/>
  </conditionalFormatting>
  <conditionalFormatting sqref="XEY99">
    <cfRule type="duplicateValues" dxfId="0" priority="764"/>
  </conditionalFormatting>
  <conditionalFormatting sqref="XFC99">
    <cfRule type="duplicateValues" dxfId="0" priority="777"/>
  </conditionalFormatting>
  <conditionalFormatting sqref="A100">
    <cfRule type="duplicateValues" dxfId="0" priority="776"/>
  </conditionalFormatting>
  <conditionalFormatting sqref="H100">
    <cfRule type="duplicateValues" dxfId="0" priority="784"/>
    <cfRule type="duplicateValues" dxfId="0" priority="791"/>
    <cfRule type="duplicateValues" dxfId="0" priority="798"/>
    <cfRule type="duplicateValues" dxfId="0" priority="805"/>
    <cfRule type="duplicateValues" dxfId="0" priority="812"/>
    <cfRule type="duplicateValues" dxfId="0" priority="819"/>
    <cfRule type="duplicateValues" dxfId="0" priority="826"/>
    <cfRule type="duplicateValues" dxfId="0" priority="833"/>
    <cfRule type="duplicateValues" dxfId="0" priority="840"/>
    <cfRule type="duplicateValues" dxfId="0" priority="847"/>
    <cfRule type="duplicateValues" dxfId="0" priority="854"/>
    <cfRule type="duplicateValues" dxfId="0" priority="861"/>
    <cfRule type="duplicateValues" dxfId="0" priority="868"/>
    <cfRule type="duplicateValues" dxfId="0" priority="875"/>
    <cfRule type="duplicateValues" dxfId="0" priority="882"/>
    <cfRule type="duplicateValues" dxfId="0" priority="889"/>
    <cfRule type="duplicateValues" dxfId="0" priority="896"/>
    <cfRule type="duplicateValues" dxfId="0" priority="903"/>
    <cfRule type="duplicateValues" dxfId="0" priority="910"/>
    <cfRule type="duplicateValues" dxfId="0" priority="917"/>
  </conditionalFormatting>
  <conditionalFormatting sqref="J100"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  <cfRule type="duplicateValues" dxfId="0" priority="735"/>
    <cfRule type="duplicateValues" dxfId="0" priority="742"/>
    <cfRule type="duplicateValues" dxfId="0" priority="749"/>
  </conditionalFormatting>
  <conditionalFormatting sqref="K100"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  <cfRule type="duplicateValues" dxfId="0" priority="567"/>
    <cfRule type="duplicateValues" dxfId="0" priority="574"/>
    <cfRule type="duplicateValues" dxfId="0" priority="581"/>
    <cfRule type="duplicateValues" dxfId="0" priority="588"/>
    <cfRule type="duplicateValues" dxfId="0" priority="595"/>
    <cfRule type="duplicateValues" dxfId="0" priority="602"/>
    <cfRule type="duplicateValues" dxfId="0" priority="609"/>
  </conditionalFormatting>
  <conditionalFormatting sqref="L100"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</conditionalFormatting>
  <conditionalFormatting sqref="M100"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</conditionalFormatting>
  <conditionalFormatting sqref="XET100">
    <cfRule type="duplicateValues" dxfId="0" priority="756"/>
  </conditionalFormatting>
  <conditionalFormatting sqref="XEY100">
    <cfRule type="duplicateValues" dxfId="0" priority="763"/>
  </conditionalFormatting>
  <conditionalFormatting sqref="XFC100">
    <cfRule type="duplicateValues" dxfId="0" priority="775"/>
  </conditionalFormatting>
  <conditionalFormatting sqref="V1048289"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</conditionalFormatting>
  <conditionalFormatting sqref="V1048290"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</conditionalFormatting>
  <conditionalFormatting sqref="V1048291"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</conditionalFormatting>
  <conditionalFormatting sqref="A1:A3 A101:A1048576">
    <cfRule type="duplicateValues" dxfId="0" priority="10938"/>
  </conditionalFormatting>
  <conditionalFormatting sqref="H1:H3 G101:G1048576">
    <cfRule type="duplicateValues" dxfId="0" priority="10884"/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7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2026-08-27T12:03:13Z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