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3" r:id="rId1"/>
  </sheets>
  <definedNames>
    <definedName name="_xlnm._FilterDatabase" localSheetId="0" hidden="1">'Actual pending as on today'!$3:$113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<sst xmlns="http://schemas.openxmlformats.org/spreadsheetml/2006/main" count="731" uniqueCount="338">
  <si>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</si>
  <si>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</si>
  <si>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</si>
  <si>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</si>
  <si>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</si>
  <si>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</si>
  <si>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</si>
  <si>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</si>
  <si>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</si>
  <si>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</si>
  <si>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</si>
  <si>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</si>
  <si>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</si>
  <si>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</si>
  <si>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</si>
  <si>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</si>
  <si>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</si>
  <si>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</si>
  <si>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</si>
  <si>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</si>
  <si>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</si>
  <si>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</si>
  <si>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</si>
  <si>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</si>
  <si>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</si>
  <si>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</si>
  <si>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</si>
  <si>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</si>
  <si>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</si>
  <si>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</si>
  <si>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</si>
  <si>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</si>
  <si>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</si>
  <si>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</si>
  <si>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</si>
  <si>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</si>
  <si>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</si>
  <si>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</si>
  <si>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</si>
  <si>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</si>
  <si>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</si>
  <si>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</si>
  <si>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</si>
  <si>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</si>
  <si>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</si>
  <si>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</si>
  <si>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</si>
  <si>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</si>
  <si>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</si>
  <si>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</si>
  <si>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</si>
  <si>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</si>
  <si>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</si>
  <si>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</si>
  <si>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BN-2627/926</t>
  </si>
  <si>
    <t>2104936 - PLAIN CARTON (45X55X90MM)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</si>
  <si>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</si>
  <si>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</si>
  <si>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</si>
  <si>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</si>
  <si>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</si>
  <si>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</si>
  <si>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</si>
  <si>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</si>
  <si>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</si>
  <si>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</si>
  <si>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</si>
  <si>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</si>
  <si>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</si>
  <si>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</si>
  <si>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</si>
  <si>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</si>
  <si>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</si>
  <si>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</si>
  <si>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</si>
  <si>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</si>
  <si>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</si>
  <si>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</si>
  <si>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</si>
  <si>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PLANNED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</si>
  <si>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</si>
  <si>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</si>
  <si>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</si>
  <si>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</si>
  <si>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</si>
  <si>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</si>
  <si>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</si>
  <si>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</si>
  <si>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</si>
  <si>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</si>
  <si>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</si>
  <si>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</si>
  <si>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</si>
  <si>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</si>
  <si>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</si>
  <si>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</si>
  <si>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</si>
  <si>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</si>
  <si>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</si>
  <si>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</si>
  <si>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</si>
  <si>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</si>
  <si>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</si>
  <si>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</si>
  <si>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</si>
  <si>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</si>
  <si>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</si>
  <si>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</si>
  <si>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</si>
  <si>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</si>
  <si>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</si>
  <si>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</si>
  <si>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</si>
  <si>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</si>
  <si>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</si>
  <si>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</si>
  <si>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</si>
  <si>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</si>
  <si>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</si>
  <si>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</si>
  <si>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</si>
  <si>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</si>
  <si>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</si>
  <si>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</si>
  <si>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PUNCHING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</si>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</sst>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7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E10" sqref="E10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7" t="s">
        <v>30</v>
      </c>
      <c r="H4" s="24">
        <v>1047664</v>
      </c>
      <c r="I4" s="28" t="s">
        <v>31</v>
      </c>
      <c r="J4" s="24">
        <v>80000</v>
      </c>
      <c r="K4" s="29">
        <v>34</v>
      </c>
      <c r="L4" s="24">
        <v>80000</v>
      </c>
      <c r="M4" s="24">
        <f>+L4*K4</f>
        <v>2720000</v>
      </c>
      <c r="N4" s="24" t="s">
        <v>32</v>
      </c>
      <c r="O4" s="24"/>
      <c r="P4" s="24"/>
      <c r="Q4" s="24"/>
      <c r="R4" s="24"/>
      <c r="S4" s="30"/>
      <c r="T4" s="31">
        <f ca="1">TODAY()-B4</f>
        <v>132</v>
      </c>
      <c r="U4" s="32"/>
      <c r="V4" s="24"/>
      <c r="W4" s="33"/>
      <c r="X4" s="34"/>
      <c r="Y4" s="33"/>
      <c r="Z4" s="35"/>
      <c r="AA4" s="36"/>
      <c r="AC4" s="33"/>
    </row>
    <row r="5" s="1" customFormat="1" ht="14.1" customHeight="1" spans="1:29 16380:16384">
      <c r="A5" s="37" t="s">
        <v>33</v>
      </c>
      <c r="B5" s="25"/>
      <c r="C5" s="24"/>
      <c r="D5" s="25"/>
      <c r="E5" s="24"/>
      <c r="F5" s="38" t="s">
        <v>34</v>
      </c>
      <c r="G5" s="39" t="s">
        <v>35</v>
      </c>
      <c r="H5" s="39" t="s">
        <v>36</v>
      </c>
      <c r="I5" s="38" t="s">
        <v>37</v>
      </c>
      <c r="J5" s="39">
        <v>7000</v>
      </c>
      <c r="K5" s="40">
        <v>7000</v>
      </c>
      <c r="L5" s="41"/>
      <c r="M5" s="42">
        <v>49700</v>
      </c>
      <c r="N5" s="24" t="s">
        <v>38</v>
      </c>
      <c r="O5" s="24"/>
      <c r="P5" s="25"/>
      <c r="Q5" s="25"/>
      <c r="R5" s="25"/>
      <c r="S5" s="30"/>
      <c r="T5" s="31"/>
      <c r="U5" s="32"/>
      <c r="V5" s="43"/>
      <c r="X5" s="44"/>
      <c r="Y5" s="33"/>
      <c r="Z5" s="35"/>
      <c r="AA5" s="36"/>
      <c r="AC5" s="33"/>
    </row>
    <row r="6" s="1" customFormat="1" ht="14.1" customHeight="1" spans="1:29 16380:16384">
      <c r="A6" s="45" t="s">
        <v>39</v>
      </c>
      <c r="B6" s="46">
        <v>46196</v>
      </c>
      <c r="C6" s="47">
        <v>111042271</v>
      </c>
      <c r="D6" s="47">
        <v>46192</v>
      </c>
      <c r="E6" s="48" t="s">
        <v>40</v>
      </c>
      <c r="F6" s="41" t="s">
        <v>41</v>
      </c>
      <c r="G6" s="45" t="s">
        <v>30</v>
      </c>
      <c r="H6" s="49">
        <v>113014496</v>
      </c>
      <c r="I6" s="49" t="s">
        <v>42</v>
      </c>
      <c r="J6" s="45">
        <v>4200</v>
      </c>
      <c r="K6" s="40">
        <v>4</v>
      </c>
      <c r="L6" s="45">
        <v>4200</v>
      </c>
      <c r="M6" s="45">
        <v>16800</v>
      </c>
      <c r="N6" s="45" t="s">
        <v>18</v>
      </c>
      <c r="O6" s="47"/>
      <c r="P6" s="47">
        <v>46199</v>
      </c>
      <c r="Q6" s="47"/>
      <c r="R6" s="47"/>
      <c r="S6" s="50"/>
      <c r="T6" s="31">
        <f ca="1">TODAY()-U6</f>
        <v>1</v>
      </c>
      <c r="U6" s="47">
        <v>46260</v>
      </c>
      <c r="V6" s="45"/>
      <c r="W6" s="51">
        <f>+P6-B6</f>
        <v>3</v>
      </c>
    </row>
    <row r="7" s="1" customFormat="1" ht="14.1" customHeight="1" spans="1:29 16380:16384">
      <c r="A7" s="45" t="s">
        <v>43</v>
      </c>
      <c r="B7" s="46">
        <v>46204</v>
      </c>
      <c r="C7" s="47">
        <v>9500214401</v>
      </c>
      <c r="D7" s="47">
        <v>46202</v>
      </c>
      <c r="E7" s="48" t="s">
        <v>44</v>
      </c>
      <c r="F7" s="41" t="s">
        <v>45</v>
      </c>
      <c r="G7" s="45" t="s">
        <v>30</v>
      </c>
      <c r="H7" s="49">
        <v>2107161</v>
      </c>
      <c r="I7" s="49" t="s">
        <v>46</v>
      </c>
      <c r="J7" s="45">
        <v>263500</v>
      </c>
      <c r="K7" s="40">
        <v>1.75</v>
      </c>
      <c r="L7" s="45">
        <v>263500</v>
      </c>
      <c r="M7" s="45">
        <v>461125</v>
      </c>
      <c r="N7" s="45" t="s">
        <v>38</v>
      </c>
      <c r="O7" s="47">
        <v>46204</v>
      </c>
      <c r="P7" s="47">
        <v>46211</v>
      </c>
      <c r="Q7" s="47">
        <v>46214</v>
      </c>
      <c r="R7" s="47">
        <v>46216</v>
      </c>
      <c r="S7" s="50"/>
      <c r="T7" s="31">
        <f ca="1">TODAY()-B7</f>
        <v>57</v>
      </c>
      <c r="U7" s="52"/>
      <c r="V7" s="53"/>
      <c r="W7" s="51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47</v>
      </c>
    </row>
    <row r="8" s="1" customFormat="1" ht="14.1" customHeight="1" spans="1:29 16380:16384">
      <c r="A8" s="45" t="s">
        <v>48</v>
      </c>
      <c r="B8" s="46">
        <v>46205</v>
      </c>
      <c r="C8" s="47">
        <v>4000315711</v>
      </c>
      <c r="D8" s="47">
        <v>46203</v>
      </c>
      <c r="E8" s="48" t="s">
        <v>49</v>
      </c>
      <c r="F8" s="41" t="s">
        <v>50</v>
      </c>
      <c r="G8" s="45" t="s">
        <v>30</v>
      </c>
      <c r="H8" s="49">
        <v>650012485</v>
      </c>
      <c r="I8" s="54" t="s">
        <v>51</v>
      </c>
      <c r="J8" s="45">
        <v>5000</v>
      </c>
      <c r="K8" s="40">
        <v>6.9</v>
      </c>
      <c r="L8" s="45">
        <v>5000</v>
      </c>
      <c r="M8" s="45">
        <v>34500</v>
      </c>
      <c r="N8" s="45" t="s">
        <v>32</v>
      </c>
      <c r="O8" s="47">
        <v>46205</v>
      </c>
      <c r="P8" s="47">
        <v>46206</v>
      </c>
      <c r="Q8" s="47"/>
      <c r="R8" s="47"/>
      <c r="S8" s="47"/>
      <c r="T8" s="31">
        <f ca="1">TODAY()-B8</f>
        <v>56</v>
      </c>
      <c r="U8" s="52"/>
      <c r="V8" s="3"/>
      <c r="W8" s="51">
        <f t="shared" ref="W8:W10" si="1">+P8-O8</f>
        <v>1</v>
      </c>
    </row>
    <row r="9" s="1" customFormat="1" ht="14.1" customHeight="1" spans="1:29 16380:16384">
      <c r="A9" s="45" t="s">
        <v>52</v>
      </c>
      <c r="B9" s="46">
        <v>46205</v>
      </c>
      <c r="C9" s="47">
        <v>4000315711</v>
      </c>
      <c r="D9" s="47">
        <v>46203</v>
      </c>
      <c r="E9" s="48" t="s">
        <v>49</v>
      </c>
      <c r="F9" s="41" t="s">
        <v>50</v>
      </c>
      <c r="G9" s="45" t="s">
        <v>30</v>
      </c>
      <c r="H9" s="49">
        <v>650012486</v>
      </c>
      <c r="I9" s="54" t="s">
        <v>53</v>
      </c>
      <c r="J9" s="45">
        <v>12000</v>
      </c>
      <c r="K9" s="40">
        <v>4.56</v>
      </c>
      <c r="L9" s="45">
        <v>12000</v>
      </c>
      <c r="M9" s="45">
        <v>54720</v>
      </c>
      <c r="N9" s="45" t="s">
        <v>32</v>
      </c>
      <c r="O9" s="47">
        <v>46205</v>
      </c>
      <c r="P9" s="47">
        <v>46206</v>
      </c>
      <c r="Q9" s="47"/>
      <c r="R9" s="47"/>
      <c r="S9" s="47"/>
      <c r="T9" s="31">
        <f ca="1">TODAY()-B9</f>
        <v>56</v>
      </c>
      <c r="U9" s="52"/>
      <c r="V9" s="3"/>
      <c r="W9" s="51">
        <f t="shared" si="1"/>
        <v>1</v>
      </c>
    </row>
    <row r="10" s="1" customFormat="1" ht="14.1" customHeight="1" spans="1:29 16380:16384">
      <c r="A10" s="45" t="s">
        <v>54</v>
      </c>
      <c r="B10" s="46">
        <v>46210</v>
      </c>
      <c r="C10" s="47">
        <v>9500217205</v>
      </c>
      <c r="D10" s="47">
        <v>46210</v>
      </c>
      <c r="E10" s="48" t="s">
        <v>44</v>
      </c>
      <c r="F10" s="41" t="s">
        <v>45</v>
      </c>
      <c r="G10" s="45" t="s">
        <v>30</v>
      </c>
      <c r="H10" s="49">
        <v>2104936</v>
      </c>
      <c r="I10" s="49" t="s">
        <v>55</v>
      </c>
      <c r="J10" s="45">
        <v>5000</v>
      </c>
      <c r="K10" s="40">
        <v>4.35</v>
      </c>
      <c r="L10" s="45">
        <v>5000</v>
      </c>
      <c r="M10" s="45">
        <v>21750</v>
      </c>
      <c r="N10" s="45" t="s">
        <v>38</v>
      </c>
      <c r="O10" s="47">
        <v>46211</v>
      </c>
      <c r="P10" s="47">
        <v>46213</v>
      </c>
      <c r="Q10" s="47"/>
      <c r="R10" s="47">
        <v>46242</v>
      </c>
      <c r="S10" s="50"/>
      <c r="T10" s="31">
        <f ca="1">TODAY()-B10</f>
        <v>51</v>
      </c>
      <c r="U10" s="52"/>
      <c r="V10" s="3"/>
      <c r="W10" s="51">
        <f t="shared" si="1"/>
        <v>2</v>
      </c>
    </row>
    <row r="11" s="1" customFormat="1" ht="14.1" customHeight="1" spans="1:29 16380:16384">
      <c r="A11" s="45" t="s">
        <v>56</v>
      </c>
      <c r="B11" s="46">
        <v>46220</v>
      </c>
      <c r="C11" s="47"/>
      <c r="D11" s="47" t="s">
        <v>57</v>
      </c>
      <c r="E11" s="48" t="s">
        <v>58</v>
      </c>
      <c r="F11" s="41" t="s">
        <v>59</v>
      </c>
      <c r="G11" s="45" t="s">
        <v>30</v>
      </c>
      <c r="H11" s="49" t="s">
        <v>60</v>
      </c>
      <c r="I11" s="49" t="s">
        <v>61</v>
      </c>
      <c r="J11" s="45">
        <v>11000</v>
      </c>
      <c r="K11" s="40">
        <v>3.7</v>
      </c>
      <c r="L11" s="45">
        <v>11000</v>
      </c>
      <c r="M11" s="45">
        <f>+L11*K11</f>
        <v>40700</v>
      </c>
      <c r="N11" s="45" t="s">
        <v>38</v>
      </c>
      <c r="O11" s="47">
        <v>46224</v>
      </c>
      <c r="P11" s="47">
        <v>46225</v>
      </c>
      <c r="Q11" s="47">
        <v>46227</v>
      </c>
      <c r="R11" s="47">
        <v>46230</v>
      </c>
      <c r="S11" s="50"/>
      <c r="T11" s="31">
        <f ca="1">TODAY()-B11</f>
        <v>41</v>
      </c>
      <c r="U11" s="55"/>
      <c r="V11" s="53"/>
      <c r="W11" s="51">
        <f t="shared" ref="W11:Y11" si="2">+P11-O11</f>
        <v>1</v>
      </c>
      <c r="X11" s="1">
        <f t="shared" si="2"/>
        <v>2</v>
      </c>
      <c r="Y11" s="1">
        <f t="shared" si="2"/>
        <v>3</v>
      </c>
      <c r="Z11" s="1" t="s">
        <v>47</v>
      </c>
      <c r="XEZ11" s="56"/>
      <c r="XFA11" s="57"/>
      <c r="XFB11" s="58"/>
      <c r="XFC11" s="58"/>
      <c r="XFD11" s="59"/>
    </row>
    <row r="12" s="1" customFormat="1" ht="14.1" customHeight="1" spans="1:29 16380:16384">
      <c r="A12" s="45" t="s">
        <v>62</v>
      </c>
      <c r="B12" s="46">
        <v>46220</v>
      </c>
      <c r="C12" s="47"/>
      <c r="D12" s="47" t="s">
        <v>57</v>
      </c>
      <c r="E12" s="48" t="s">
        <v>63</v>
      </c>
      <c r="F12" s="41" t="s">
        <v>64</v>
      </c>
      <c r="G12" s="45" t="s">
        <v>35</v>
      </c>
      <c r="H12" s="49" t="s">
        <v>65</v>
      </c>
      <c r="I12" s="49" t="s">
        <v>66</v>
      </c>
      <c r="J12" s="45">
        <v>80000</v>
      </c>
      <c r="K12" s="40">
        <v>1.3</v>
      </c>
      <c r="L12" s="45">
        <v>80000</v>
      </c>
      <c r="M12" s="45">
        <f>+L12*K12</f>
        <v>104000</v>
      </c>
      <c r="N12" s="45" t="s">
        <v>67</v>
      </c>
      <c r="O12" s="47">
        <v>46226</v>
      </c>
      <c r="P12" s="47">
        <v>46237</v>
      </c>
      <c r="Q12" s="47"/>
      <c r="R12" s="47"/>
      <c r="S12" s="47"/>
      <c r="T12" s="31">
        <f ca="1">TODAY()-B12</f>
        <v>41</v>
      </c>
      <c r="U12" s="55"/>
      <c r="V12" s="3"/>
      <c r="W12" s="51">
        <f>+P12-O12</f>
        <v>11</v>
      </c>
      <c r="XEZ12" s="56"/>
      <c r="XFA12" s="57"/>
      <c r="XFB12" s="58"/>
      <c r="XFC12" s="58"/>
      <c r="XFD12" s="59"/>
    </row>
    <row r="13" s="1" customFormat="1" ht="14.1" customHeight="1" spans="1:29 16380:16384">
      <c r="A13" s="45" t="s">
        <v>68</v>
      </c>
      <c r="B13" s="46">
        <v>46223</v>
      </c>
      <c r="C13" s="47">
        <v>4510211214</v>
      </c>
      <c r="D13" s="47">
        <v>46220</v>
      </c>
      <c r="E13" s="48" t="s">
        <v>49</v>
      </c>
      <c r="F13" s="41" t="s">
        <v>69</v>
      </c>
      <c r="G13" s="45" t="s">
        <v>30</v>
      </c>
      <c r="H13" s="49">
        <v>1226334</v>
      </c>
      <c r="I13" s="49" t="s">
        <v>70</v>
      </c>
      <c r="J13" s="45">
        <v>31000</v>
      </c>
      <c r="K13" s="40">
        <v>7.25</v>
      </c>
      <c r="L13" s="45">
        <v>31000</v>
      </c>
      <c r="M13" s="45">
        <v>224750</v>
      </c>
      <c r="N13" s="45" t="s">
        <v>71</v>
      </c>
      <c r="O13" s="47">
        <v>46224</v>
      </c>
      <c r="P13" s="47"/>
      <c r="Q13" s="47"/>
      <c r="R13" s="47"/>
      <c r="S13" s="47"/>
      <c r="T13" s="31">
        <f ca="1">TODAY()-B13</f>
        <v>38</v>
      </c>
      <c r="U13" s="55"/>
      <c r="V13" s="3"/>
      <c r="W13" s="51"/>
      <c r="XEZ13" s="56"/>
      <c r="XFA13" s="57"/>
      <c r="XFB13" s="58"/>
      <c r="XFC13" s="58"/>
      <c r="XFD13" s="59"/>
    </row>
    <row r="14" s="1" customFormat="1" ht="14.1" customHeight="1" spans="1:29 16380:16384">
      <c r="A14" s="45" t="s">
        <v>72</v>
      </c>
      <c r="B14" s="46">
        <v>46227</v>
      </c>
      <c r="C14" s="47">
        <v>9500221584</v>
      </c>
      <c r="D14" s="47">
        <v>46226</v>
      </c>
      <c r="E14" s="48" t="s">
        <v>73</v>
      </c>
      <c r="F14" s="41" t="s">
        <v>74</v>
      </c>
      <c r="G14" s="45" t="s">
        <v>30</v>
      </c>
      <c r="H14" s="49">
        <v>2108156</v>
      </c>
      <c r="I14" s="49" t="s">
        <v>75</v>
      </c>
      <c r="J14" s="45">
        <v>130000</v>
      </c>
      <c r="K14" s="40">
        <v>2.3</v>
      </c>
      <c r="L14" s="45">
        <v>130000</v>
      </c>
      <c r="M14" s="45">
        <v>299000</v>
      </c>
      <c r="N14" s="45" t="s">
        <v>38</v>
      </c>
      <c r="O14" s="47">
        <v>46228</v>
      </c>
      <c r="P14" s="47">
        <v>46239</v>
      </c>
      <c r="Q14" s="47">
        <v>46239</v>
      </c>
      <c r="R14" s="47">
        <v>46241</v>
      </c>
      <c r="S14" s="50">
        <v>46258</v>
      </c>
      <c r="T14" s="31">
        <f ca="1">TODAY()-B14</f>
        <v>34</v>
      </c>
      <c r="U14" s="47"/>
      <c r="V14" s="3"/>
      <c r="W14" s="51">
        <f t="shared" ref="W14:Y14" si="3">+P14-O14</f>
        <v>11</v>
      </c>
      <c r="X14" s="1">
        <f t="shared" si="3"/>
        <v>0</v>
      </c>
      <c r="Y14" s="1">
        <f t="shared" si="3"/>
        <v>2</v>
      </c>
      <c r="Z14" s="1" t="s">
        <v>76</v>
      </c>
      <c r="XEZ14" s="56"/>
      <c r="XFA14" s="57"/>
      <c r="XFB14" s="58"/>
      <c r="XFC14" s="58"/>
      <c r="XFD14" s="59"/>
    </row>
    <row r="15" s="1" customFormat="1" ht="14.1" customHeight="1" spans="1:29 16380:16384">
      <c r="A15" s="45" t="s">
        <v>77</v>
      </c>
      <c r="B15" s="46">
        <v>46232</v>
      </c>
      <c r="C15" s="47">
        <v>4000317429</v>
      </c>
      <c r="D15" s="47">
        <v>46224</v>
      </c>
      <c r="E15" s="48" t="s">
        <v>49</v>
      </c>
      <c r="F15" s="60" t="s">
        <v>50</v>
      </c>
      <c r="G15" s="45" t="s">
        <v>30</v>
      </c>
      <c r="H15" s="49">
        <v>650009483</v>
      </c>
      <c r="I15" s="49" t="s">
        <v>78</v>
      </c>
      <c r="J15" s="45">
        <v>1000</v>
      </c>
      <c r="K15" s="40">
        <v>9.65</v>
      </c>
      <c r="L15" s="45">
        <v>1000</v>
      </c>
      <c r="M15" s="45">
        <v>9650</v>
      </c>
      <c r="N15" s="45" t="s">
        <v>79</v>
      </c>
      <c r="O15" s="47">
        <v>46233</v>
      </c>
      <c r="P15" s="47">
        <v>46245</v>
      </c>
      <c r="Q15" s="47"/>
      <c r="R15" s="47"/>
      <c r="S15" s="50">
        <v>46259</v>
      </c>
      <c r="T15" s="31">
        <f ca="1" t="shared" ref="T15:T17" si="4">TODAY()-U15</f>
        <v>6</v>
      </c>
      <c r="U15" s="47">
        <v>46255</v>
      </c>
      <c r="V15" s="3"/>
      <c r="XEZ15" s="56"/>
      <c r="XFA15" s="57"/>
      <c r="XFB15" s="58"/>
      <c r="XFC15" s="58"/>
      <c r="XFD15" s="59"/>
    </row>
    <row r="16" s="1" customFormat="1" ht="14.1" customHeight="1" spans="1:29 16380:16384">
      <c r="A16" s="45" t="s">
        <v>80</v>
      </c>
      <c r="B16" s="46">
        <v>46232</v>
      </c>
      <c r="C16" s="47">
        <v>4000317429</v>
      </c>
      <c r="D16" s="47">
        <v>46224</v>
      </c>
      <c r="E16" s="48" t="s">
        <v>49</v>
      </c>
      <c r="F16" s="60" t="s">
        <v>50</v>
      </c>
      <c r="G16" s="45" t="s">
        <v>30</v>
      </c>
      <c r="H16" s="49">
        <v>650009484</v>
      </c>
      <c r="I16" s="49" t="s">
        <v>81</v>
      </c>
      <c r="J16" s="45">
        <v>6000</v>
      </c>
      <c r="K16" s="40">
        <v>6.4</v>
      </c>
      <c r="L16" s="45">
        <v>6000</v>
      </c>
      <c r="M16" s="45">
        <v>38400</v>
      </c>
      <c r="N16" s="45" t="s">
        <v>79</v>
      </c>
      <c r="O16" s="47">
        <v>46233</v>
      </c>
      <c r="P16" s="47">
        <v>46245</v>
      </c>
      <c r="Q16" s="47"/>
      <c r="R16" s="47"/>
      <c r="S16" s="50">
        <v>46259</v>
      </c>
      <c r="T16" s="31">
        <f ca="1" t="shared" si="4"/>
        <v>6</v>
      </c>
      <c r="U16" s="47">
        <v>46255</v>
      </c>
      <c r="V16" s="3"/>
      <c r="XEZ16" s="56"/>
      <c r="XFA16" s="57"/>
      <c r="XFB16" s="58"/>
      <c r="XFC16" s="58"/>
      <c r="XFD16" s="59"/>
    </row>
    <row r="17" s="1" customFormat="1" ht="14.1" customHeight="1" spans="1:26 16380:16384">
      <c r="A17" s="45" t="s">
        <v>82</v>
      </c>
      <c r="B17" s="46">
        <v>46232</v>
      </c>
      <c r="C17" s="47">
        <v>4000317429</v>
      </c>
      <c r="D17" s="47">
        <v>46224</v>
      </c>
      <c r="E17" s="48" t="s">
        <v>49</v>
      </c>
      <c r="F17" s="60" t="s">
        <v>50</v>
      </c>
      <c r="G17" s="45" t="s">
        <v>30</v>
      </c>
      <c r="H17" s="49">
        <v>650009485</v>
      </c>
      <c r="I17" s="49" t="s">
        <v>83</v>
      </c>
      <c r="J17" s="45">
        <v>16000</v>
      </c>
      <c r="K17" s="40">
        <v>4.4</v>
      </c>
      <c r="L17" s="45">
        <v>16000</v>
      </c>
      <c r="M17" s="45">
        <v>70400</v>
      </c>
      <c r="N17" s="45" t="s">
        <v>79</v>
      </c>
      <c r="O17" s="47">
        <v>46233</v>
      </c>
      <c r="P17" s="47">
        <v>46245</v>
      </c>
      <c r="Q17" s="47"/>
      <c r="R17" s="47"/>
      <c r="S17" s="50">
        <v>46259</v>
      </c>
      <c r="T17" s="31">
        <f ca="1" t="shared" si="4"/>
        <v>6</v>
      </c>
      <c r="U17" s="47">
        <v>46255</v>
      </c>
      <c r="V17" s="3"/>
      <c r="XEZ17" s="56"/>
      <c r="XFA17" s="57"/>
      <c r="XFB17" s="58"/>
      <c r="XFC17" s="58"/>
      <c r="XFD17" s="59"/>
    </row>
    <row r="18" s="1" customFormat="1" ht="14.1" customHeight="1" spans="1:26 16380:16384">
      <c r="A18" s="45" t="s">
        <v>84</v>
      </c>
      <c r="B18" s="46">
        <v>46232</v>
      </c>
      <c r="C18" s="47">
        <v>4000317429</v>
      </c>
      <c r="D18" s="47">
        <v>46224</v>
      </c>
      <c r="E18" s="48" t="s">
        <v>49</v>
      </c>
      <c r="F18" s="60" t="s">
        <v>50</v>
      </c>
      <c r="G18" s="45" t="s">
        <v>30</v>
      </c>
      <c r="H18" s="49">
        <v>650010176</v>
      </c>
      <c r="I18" s="54" t="s">
        <v>85</v>
      </c>
      <c r="J18" s="45">
        <v>15000</v>
      </c>
      <c r="K18" s="40">
        <v>3.9</v>
      </c>
      <c r="L18" s="45">
        <v>15000</v>
      </c>
      <c r="M18" s="45">
        <v>58500</v>
      </c>
      <c r="N18" s="45" t="s">
        <v>79</v>
      </c>
      <c r="O18" s="47">
        <v>46233</v>
      </c>
      <c r="P18" s="47">
        <v>46237</v>
      </c>
      <c r="Q18" s="47"/>
      <c r="R18" s="47"/>
      <c r="S18" s="50">
        <v>46263</v>
      </c>
      <c r="T18" s="31">
        <f ca="1" t="shared" ref="T18:T31" si="5">TODAY()-B18</f>
        <v>29</v>
      </c>
      <c r="U18" s="47"/>
      <c r="V18" s="3"/>
      <c r="W18" s="51">
        <f t="shared" ref="W18:W30" si="6">+P18-O18</f>
        <v>4</v>
      </c>
      <c r="XEZ18" s="56"/>
      <c r="XFA18" s="57"/>
      <c r="XFB18" s="58"/>
      <c r="XFC18" s="58"/>
      <c r="XFD18" s="59"/>
    </row>
    <row r="19" s="1" customFormat="1" ht="14.1" customHeight="1" spans="1:26 16380:16384">
      <c r="A19" s="45" t="s">
        <v>86</v>
      </c>
      <c r="B19" s="46">
        <v>46232</v>
      </c>
      <c r="C19" s="47">
        <v>4000317429</v>
      </c>
      <c r="D19" s="47">
        <v>46224</v>
      </c>
      <c r="E19" s="48" t="s">
        <v>49</v>
      </c>
      <c r="F19" s="60" t="s">
        <v>50</v>
      </c>
      <c r="G19" s="45" t="s">
        <v>30</v>
      </c>
      <c r="H19" s="49">
        <v>650010448</v>
      </c>
      <c r="I19" s="49" t="s">
        <v>87</v>
      </c>
      <c r="J19" s="45">
        <v>2000</v>
      </c>
      <c r="K19" s="40">
        <v>9.2</v>
      </c>
      <c r="L19" s="45">
        <v>2000</v>
      </c>
      <c r="M19" s="45">
        <v>18400</v>
      </c>
      <c r="N19" s="45" t="s">
        <v>79</v>
      </c>
      <c r="O19" s="47">
        <v>46233</v>
      </c>
      <c r="P19" s="47">
        <v>46245</v>
      </c>
      <c r="Q19" s="47"/>
      <c r="R19" s="47"/>
      <c r="S19" s="50">
        <v>46259</v>
      </c>
      <c r="T19" s="31">
        <f ca="1">TODAY()-U19</f>
        <v>6</v>
      </c>
      <c r="U19" s="47">
        <v>46255</v>
      </c>
      <c r="V19" s="3"/>
      <c r="XEZ19" s="56"/>
      <c r="XFA19" s="57"/>
      <c r="XFB19" s="58"/>
      <c r="XFC19" s="58"/>
      <c r="XFD19" s="59"/>
    </row>
    <row r="20" s="1" customFormat="1" ht="14.1" customHeight="1" spans="1:26 16380:16384">
      <c r="A20" s="45" t="s">
        <v>88</v>
      </c>
      <c r="B20" s="46">
        <v>46232</v>
      </c>
      <c r="C20" s="47">
        <v>4000317429</v>
      </c>
      <c r="D20" s="47">
        <v>46224</v>
      </c>
      <c r="E20" s="48" t="s">
        <v>49</v>
      </c>
      <c r="F20" s="41" t="s">
        <v>50</v>
      </c>
      <c r="G20" s="45" t="s">
        <v>30</v>
      </c>
      <c r="H20" s="49">
        <v>650012349</v>
      </c>
      <c r="I20" s="54" t="s">
        <v>89</v>
      </c>
      <c r="J20" s="45">
        <v>1000</v>
      </c>
      <c r="K20" s="40">
        <v>11.5</v>
      </c>
      <c r="L20" s="45">
        <v>1000</v>
      </c>
      <c r="M20" s="45">
        <v>11500</v>
      </c>
      <c r="N20" s="45" t="s">
        <v>32</v>
      </c>
      <c r="O20" s="47">
        <v>46233</v>
      </c>
      <c r="P20" s="47">
        <v>46237</v>
      </c>
      <c r="Q20" s="47"/>
      <c r="R20" s="47"/>
      <c r="S20" s="47"/>
      <c r="T20" s="31">
        <f ca="1" t="shared" si="5"/>
        <v>29</v>
      </c>
      <c r="U20" s="47"/>
      <c r="V20" s="3"/>
      <c r="W20" s="51">
        <f t="shared" si="6"/>
        <v>4</v>
      </c>
      <c r="XEZ20" s="56"/>
      <c r="XFA20" s="57"/>
      <c r="XFB20" s="58"/>
      <c r="XFC20" s="58"/>
      <c r="XFD20" s="59"/>
    </row>
    <row r="21" s="1" customFormat="1" ht="14.1" customHeight="1" spans="1:26 16380:16384">
      <c r="A21" s="45" t="s">
        <v>90</v>
      </c>
      <c r="B21" s="46">
        <v>46232</v>
      </c>
      <c r="C21" s="47">
        <v>4000317429</v>
      </c>
      <c r="D21" s="47">
        <v>46224</v>
      </c>
      <c r="E21" s="48" t="s">
        <v>49</v>
      </c>
      <c r="F21" s="41" t="s">
        <v>50</v>
      </c>
      <c r="G21" s="45" t="s">
        <v>30</v>
      </c>
      <c r="H21" s="49">
        <v>650016082</v>
      </c>
      <c r="I21" s="49" t="s">
        <v>91</v>
      </c>
      <c r="J21" s="45">
        <v>20500</v>
      </c>
      <c r="K21" s="40">
        <v>3.72</v>
      </c>
      <c r="L21" s="45">
        <v>20500</v>
      </c>
      <c r="M21" s="45">
        <v>76260</v>
      </c>
      <c r="N21" s="61" t="s">
        <v>38</v>
      </c>
      <c r="O21" s="47">
        <v>46233</v>
      </c>
      <c r="P21" s="47">
        <v>46241</v>
      </c>
      <c r="Q21" s="47">
        <v>46241</v>
      </c>
      <c r="R21" s="47">
        <v>46245</v>
      </c>
      <c r="S21" s="47"/>
      <c r="T21" s="31">
        <f ca="1" t="shared" si="5"/>
        <v>29</v>
      </c>
      <c r="U21" s="47"/>
      <c r="V21" s="3"/>
      <c r="W21" s="51">
        <f t="shared" si="6"/>
        <v>8</v>
      </c>
      <c r="X21" s="1">
        <f t="shared" ref="X21:X30" si="7">+Q21-P21</f>
        <v>0</v>
      </c>
      <c r="Y21" s="1">
        <f t="shared" ref="Y21:Y30" si="8">+R21-Q21</f>
        <v>4</v>
      </c>
      <c r="XEZ21" s="56"/>
      <c r="XFA21" s="57"/>
      <c r="XFB21" s="58"/>
      <c r="XFC21" s="58"/>
      <c r="XFD21" s="59"/>
    </row>
    <row r="22" s="1" customFormat="1" ht="14.1" customHeight="1" spans="1:26 16380:16384">
      <c r="A22" s="45" t="s">
        <v>92</v>
      </c>
      <c r="B22" s="46">
        <v>46232</v>
      </c>
      <c r="C22" s="47">
        <v>4000317429</v>
      </c>
      <c r="D22" s="47">
        <v>46224</v>
      </c>
      <c r="E22" s="48" t="s">
        <v>49</v>
      </c>
      <c r="F22" s="41" t="s">
        <v>50</v>
      </c>
      <c r="G22" s="45" t="s">
        <v>30</v>
      </c>
      <c r="H22" s="49">
        <v>650016887</v>
      </c>
      <c r="I22" s="49" t="s">
        <v>93</v>
      </c>
      <c r="J22" s="45">
        <v>10000</v>
      </c>
      <c r="K22" s="40">
        <v>3.6</v>
      </c>
      <c r="L22" s="45">
        <v>10000</v>
      </c>
      <c r="M22" s="45">
        <v>36000</v>
      </c>
      <c r="N22" s="61" t="s">
        <v>38</v>
      </c>
      <c r="O22" s="47">
        <v>46233</v>
      </c>
      <c r="P22" s="47">
        <v>46234</v>
      </c>
      <c r="Q22" s="47">
        <v>46237</v>
      </c>
      <c r="R22" s="47">
        <v>46239</v>
      </c>
      <c r="S22" s="47"/>
      <c r="T22" s="31">
        <f ca="1" t="shared" si="5"/>
        <v>29</v>
      </c>
      <c r="U22" s="47"/>
      <c r="V22" s="3"/>
      <c r="W22" s="51">
        <f t="shared" si="6"/>
        <v>1</v>
      </c>
      <c r="X22" s="1">
        <f t="shared" si="7"/>
        <v>3</v>
      </c>
      <c r="Y22" s="1">
        <f t="shared" si="8"/>
        <v>2</v>
      </c>
      <c r="Z22" s="1" t="s">
        <v>47</v>
      </c>
      <c r="XEZ22" s="56"/>
      <c r="XFA22" s="57"/>
      <c r="XFB22" s="58"/>
      <c r="XFC22" s="58"/>
      <c r="XFD22" s="59"/>
    </row>
    <row r="23" s="1" customFormat="1" ht="14.1" customHeight="1" spans="1:26 16380:16384">
      <c r="A23" s="45" t="s">
        <v>94</v>
      </c>
      <c r="B23" s="46">
        <v>46232</v>
      </c>
      <c r="C23" s="47">
        <v>4000317429</v>
      </c>
      <c r="D23" s="47">
        <v>46224</v>
      </c>
      <c r="E23" s="48" t="s">
        <v>49</v>
      </c>
      <c r="F23" s="41" t="s">
        <v>50</v>
      </c>
      <c r="G23" s="45" t="s">
        <v>30</v>
      </c>
      <c r="H23" s="49">
        <v>650016892</v>
      </c>
      <c r="I23" s="49" t="s">
        <v>95</v>
      </c>
      <c r="J23" s="45">
        <v>12000</v>
      </c>
      <c r="K23" s="40">
        <v>3.6</v>
      </c>
      <c r="L23" s="45">
        <v>12000</v>
      </c>
      <c r="M23" s="45">
        <v>43200</v>
      </c>
      <c r="N23" s="61" t="s">
        <v>38</v>
      </c>
      <c r="O23" s="47">
        <v>46233</v>
      </c>
      <c r="P23" s="47">
        <v>46234</v>
      </c>
      <c r="Q23" s="47">
        <v>46237</v>
      </c>
      <c r="R23" s="47">
        <v>46239</v>
      </c>
      <c r="S23" s="50">
        <v>46258</v>
      </c>
      <c r="T23" s="31">
        <f ca="1" t="shared" si="5"/>
        <v>29</v>
      </c>
      <c r="U23" s="47"/>
      <c r="V23" s="3"/>
      <c r="W23" s="51">
        <f t="shared" si="6"/>
        <v>1</v>
      </c>
      <c r="X23" s="1">
        <f t="shared" si="7"/>
        <v>3</v>
      </c>
      <c r="Y23" s="1">
        <f t="shared" si="8"/>
        <v>2</v>
      </c>
      <c r="Z23" s="1" t="s">
        <v>47</v>
      </c>
      <c r="XEZ23" s="56"/>
      <c r="XFA23" s="57"/>
      <c r="XFB23" s="58"/>
      <c r="XFC23" s="58"/>
      <c r="XFD23" s="59"/>
    </row>
    <row r="24" s="1" customFormat="1" ht="14.1" customHeight="1" spans="1:26 16380:16384">
      <c r="A24" s="45" t="s">
        <v>96</v>
      </c>
      <c r="B24" s="46">
        <v>46232</v>
      </c>
      <c r="C24" s="47">
        <v>4000317429</v>
      </c>
      <c r="D24" s="47">
        <v>46224</v>
      </c>
      <c r="E24" s="48" t="s">
        <v>49</v>
      </c>
      <c r="F24" s="41" t="s">
        <v>50</v>
      </c>
      <c r="G24" s="45" t="s">
        <v>35</v>
      </c>
      <c r="H24" s="49">
        <v>650016884</v>
      </c>
      <c r="I24" s="49" t="s">
        <v>97</v>
      </c>
      <c r="J24" s="45">
        <v>3000</v>
      </c>
      <c r="K24" s="40">
        <v>4.4</v>
      </c>
      <c r="L24" s="45">
        <v>3000</v>
      </c>
      <c r="M24" s="45">
        <v>13200</v>
      </c>
      <c r="N24" s="61" t="s">
        <v>38</v>
      </c>
      <c r="O24" s="47">
        <v>46233</v>
      </c>
      <c r="P24" s="47">
        <v>46234</v>
      </c>
      <c r="Q24" s="47">
        <v>46237</v>
      </c>
      <c r="R24" s="47">
        <v>46239</v>
      </c>
      <c r="S24" s="47"/>
      <c r="T24" s="31">
        <f ca="1" t="shared" si="5"/>
        <v>29</v>
      </c>
      <c r="U24" s="47"/>
      <c r="V24" s="3"/>
      <c r="W24" s="51">
        <f t="shared" si="6"/>
        <v>1</v>
      </c>
      <c r="X24" s="1">
        <f t="shared" si="7"/>
        <v>3</v>
      </c>
      <c r="Y24" s="1">
        <f t="shared" si="8"/>
        <v>2</v>
      </c>
      <c r="Z24" s="1" t="s">
        <v>67</v>
      </c>
      <c r="XEZ24" s="56"/>
      <c r="XFA24" s="57"/>
      <c r="XFB24" s="58"/>
      <c r="XFC24" s="58"/>
      <c r="XFD24" s="59"/>
    </row>
    <row r="25" s="1" customFormat="1" ht="14.1" customHeight="1" spans="1:26 16380:16384">
      <c r="A25" s="45" t="s">
        <v>98</v>
      </c>
      <c r="B25" s="46">
        <v>46232</v>
      </c>
      <c r="C25" s="47">
        <v>4000317429</v>
      </c>
      <c r="D25" s="47">
        <v>46224</v>
      </c>
      <c r="E25" s="48" t="s">
        <v>49</v>
      </c>
      <c r="F25" s="41" t="s">
        <v>50</v>
      </c>
      <c r="G25" s="45" t="s">
        <v>35</v>
      </c>
      <c r="H25" s="49">
        <v>650016885</v>
      </c>
      <c r="I25" s="49" t="s">
        <v>99</v>
      </c>
      <c r="J25" s="45">
        <v>3000</v>
      </c>
      <c r="K25" s="40">
        <v>4.4</v>
      </c>
      <c r="L25" s="45">
        <v>3000</v>
      </c>
      <c r="M25" s="45">
        <v>13200</v>
      </c>
      <c r="N25" s="61" t="s">
        <v>38</v>
      </c>
      <c r="O25" s="47">
        <v>46233</v>
      </c>
      <c r="P25" s="47">
        <v>46234</v>
      </c>
      <c r="Q25" s="47">
        <v>46237</v>
      </c>
      <c r="R25" s="47">
        <v>46238</v>
      </c>
      <c r="S25" s="47"/>
      <c r="T25" s="31">
        <f ca="1" t="shared" si="5"/>
        <v>29</v>
      </c>
      <c r="U25" s="47"/>
      <c r="V25" s="3"/>
      <c r="W25" s="51">
        <f t="shared" si="6"/>
        <v>1</v>
      </c>
      <c r="X25" s="1">
        <f t="shared" si="7"/>
        <v>3</v>
      </c>
      <c r="Y25" s="1">
        <f t="shared" si="8"/>
        <v>1</v>
      </c>
      <c r="Z25" s="1" t="s">
        <v>67</v>
      </c>
      <c r="XEZ25" s="56"/>
      <c r="XFA25" s="57"/>
      <c r="XFB25" s="58"/>
      <c r="XFC25" s="58"/>
      <c r="XFD25" s="59"/>
    </row>
    <row r="26" s="1" customFormat="1" ht="14.1" customHeight="1" spans="1:26 16380:16384">
      <c r="A26" s="45" t="s">
        <v>100</v>
      </c>
      <c r="B26" s="46">
        <v>46232</v>
      </c>
      <c r="C26" s="47">
        <v>4000317429</v>
      </c>
      <c r="D26" s="47">
        <v>46224</v>
      </c>
      <c r="E26" s="48" t="s">
        <v>49</v>
      </c>
      <c r="F26" s="41" t="s">
        <v>50</v>
      </c>
      <c r="G26" s="45" t="s">
        <v>35</v>
      </c>
      <c r="H26" s="49">
        <v>650016886</v>
      </c>
      <c r="I26" s="49" t="s">
        <v>101</v>
      </c>
      <c r="J26" s="45">
        <v>6000</v>
      </c>
      <c r="K26" s="40">
        <v>4.4</v>
      </c>
      <c r="L26" s="45">
        <v>6000</v>
      </c>
      <c r="M26" s="45">
        <v>26400</v>
      </c>
      <c r="N26" s="61" t="s">
        <v>38</v>
      </c>
      <c r="O26" s="47">
        <v>46233</v>
      </c>
      <c r="P26" s="47">
        <v>46234</v>
      </c>
      <c r="Q26" s="47">
        <v>46237</v>
      </c>
      <c r="R26" s="47">
        <v>46240</v>
      </c>
      <c r="S26" s="47"/>
      <c r="T26" s="31">
        <f ca="1" t="shared" si="5"/>
        <v>29</v>
      </c>
      <c r="U26" s="47"/>
      <c r="V26" s="3"/>
      <c r="W26" s="51">
        <f t="shared" si="6"/>
        <v>1</v>
      </c>
      <c r="X26" s="1">
        <f t="shared" si="7"/>
        <v>3</v>
      </c>
      <c r="Y26" s="1">
        <f t="shared" si="8"/>
        <v>3</v>
      </c>
      <c r="Z26" s="1" t="s">
        <v>67</v>
      </c>
      <c r="XEZ26" s="56"/>
      <c r="XFA26" s="57"/>
      <c r="XFB26" s="58"/>
      <c r="XFC26" s="58"/>
      <c r="XFD26" s="59"/>
    </row>
    <row r="27" s="1" customFormat="1" ht="14.1" customHeight="1" spans="1:26 16380:16384">
      <c r="A27" s="45" t="s">
        <v>102</v>
      </c>
      <c r="B27" s="46">
        <v>46234</v>
      </c>
      <c r="C27" s="47">
        <v>8110001340</v>
      </c>
      <c r="D27" s="47">
        <v>46232</v>
      </c>
      <c r="E27" s="48" t="s">
        <v>28</v>
      </c>
      <c r="F27" s="41" t="s">
        <v>29</v>
      </c>
      <c r="G27" s="45" t="s">
        <v>30</v>
      </c>
      <c r="H27" s="49">
        <v>1048507</v>
      </c>
      <c r="I27" s="49" t="s">
        <v>103</v>
      </c>
      <c r="J27" s="45">
        <v>10000</v>
      </c>
      <c r="K27" s="40"/>
      <c r="L27" s="45">
        <v>10000</v>
      </c>
      <c r="M27" s="45">
        <v>65500</v>
      </c>
      <c r="N27" s="45" t="s">
        <v>38</v>
      </c>
      <c r="O27" s="47">
        <v>46238</v>
      </c>
      <c r="P27" s="47">
        <v>46239</v>
      </c>
      <c r="Q27" s="47">
        <v>46240</v>
      </c>
      <c r="R27" s="47">
        <v>46246</v>
      </c>
      <c r="S27" s="50">
        <v>46260</v>
      </c>
      <c r="T27" s="31">
        <f ca="1" t="shared" si="5"/>
        <v>27</v>
      </c>
      <c r="U27" s="47"/>
      <c r="V27" s="3"/>
      <c r="W27" s="51">
        <f t="shared" si="6"/>
        <v>1</v>
      </c>
      <c r="X27" s="1">
        <f t="shared" si="7"/>
        <v>1</v>
      </c>
      <c r="Y27" s="1">
        <f t="shared" si="8"/>
        <v>6</v>
      </c>
      <c r="XEZ27" s="56"/>
      <c r="XFA27" s="57"/>
      <c r="XFB27" s="58"/>
      <c r="XFC27" s="58"/>
      <c r="XFD27" s="59"/>
    </row>
    <row r="28" s="1" customFormat="1" ht="14.1" customHeight="1" spans="1:26 16380:16384">
      <c r="A28" s="45" t="s">
        <v>104</v>
      </c>
      <c r="B28" s="46">
        <v>46234</v>
      </c>
      <c r="C28" s="47">
        <v>4500040664</v>
      </c>
      <c r="D28" s="47">
        <v>46232</v>
      </c>
      <c r="E28" s="48" t="s">
        <v>105</v>
      </c>
      <c r="F28" s="41" t="s">
        <v>106</v>
      </c>
      <c r="G28" s="45" t="s">
        <v>30</v>
      </c>
      <c r="H28" s="49" t="s">
        <v>107</v>
      </c>
      <c r="I28" s="49" t="s">
        <v>108</v>
      </c>
      <c r="J28" s="45">
        <v>8000</v>
      </c>
      <c r="K28" s="40"/>
      <c r="L28" s="45">
        <v>8000</v>
      </c>
      <c r="M28" s="45">
        <v>80960</v>
      </c>
      <c r="N28" s="45" t="s">
        <v>38</v>
      </c>
      <c r="O28" s="47">
        <v>46238</v>
      </c>
      <c r="P28" s="47">
        <v>46245</v>
      </c>
      <c r="Q28" s="47">
        <v>46248</v>
      </c>
      <c r="R28" s="47">
        <v>46252</v>
      </c>
      <c r="S28" s="47"/>
      <c r="T28" s="31">
        <f ca="1" t="shared" si="5"/>
        <v>27</v>
      </c>
      <c r="U28" s="47"/>
      <c r="V28" s="3"/>
      <c r="W28" s="51">
        <f t="shared" si="6"/>
        <v>7</v>
      </c>
      <c r="X28" s="1">
        <f t="shared" si="7"/>
        <v>3</v>
      </c>
      <c r="Y28" s="1">
        <f t="shared" si="8"/>
        <v>4</v>
      </c>
      <c r="XEZ28" s="56"/>
      <c r="XFA28" s="57"/>
      <c r="XFB28" s="58"/>
      <c r="XFC28" s="58"/>
      <c r="XFD28" s="59"/>
    </row>
    <row r="29" s="1" customFormat="1" ht="14.1" customHeight="1" spans="1:26 16380:16384">
      <c r="A29" s="45" t="s">
        <v>109</v>
      </c>
      <c r="B29" s="46">
        <v>46234</v>
      </c>
      <c r="C29" s="47">
        <v>4500040664</v>
      </c>
      <c r="D29" s="47">
        <v>46232</v>
      </c>
      <c r="E29" s="48" t="s">
        <v>105</v>
      </c>
      <c r="F29" s="41" t="s">
        <v>106</v>
      </c>
      <c r="G29" s="45" t="s">
        <v>30</v>
      </c>
      <c r="H29" s="49" t="s">
        <v>110</v>
      </c>
      <c r="I29" s="49" t="s">
        <v>111</v>
      </c>
      <c r="J29" s="45">
        <v>24000</v>
      </c>
      <c r="K29" s="40"/>
      <c r="L29" s="45">
        <v>24000</v>
      </c>
      <c r="M29" s="45">
        <v>50400</v>
      </c>
      <c r="N29" s="45" t="s">
        <v>38</v>
      </c>
      <c r="O29" s="47">
        <v>46238</v>
      </c>
      <c r="P29" s="47">
        <v>46241</v>
      </c>
      <c r="Q29" s="47">
        <f>+P29</f>
        <v>46241</v>
      </c>
      <c r="R29" s="47">
        <v>46251</v>
      </c>
      <c r="S29" s="47"/>
      <c r="T29" s="31">
        <f ca="1" t="shared" si="5"/>
        <v>27</v>
      </c>
      <c r="U29" s="47"/>
      <c r="V29" s="3"/>
      <c r="W29" s="51">
        <f t="shared" si="6"/>
        <v>3</v>
      </c>
      <c r="X29" s="1">
        <f t="shared" si="7"/>
        <v>0</v>
      </c>
      <c r="Y29" s="1">
        <f t="shared" si="8"/>
        <v>10</v>
      </c>
      <c r="XEZ29" s="56"/>
      <c r="XFA29" s="57"/>
      <c r="XFB29" s="58"/>
      <c r="XFC29" s="58"/>
      <c r="XFD29" s="59"/>
    </row>
    <row r="30" s="1" customFormat="1" ht="14.1" customHeight="1" spans="1:26 16380:16384">
      <c r="A30" s="45" t="s">
        <v>112</v>
      </c>
      <c r="B30" s="46">
        <v>46235.7034722222</v>
      </c>
      <c r="C30" s="47" t="s">
        <v>113</v>
      </c>
      <c r="D30" s="47"/>
      <c r="E30" s="48"/>
      <c r="F30" s="41" t="s">
        <v>114</v>
      </c>
      <c r="G30" s="45" t="s">
        <v>30</v>
      </c>
      <c r="H30" s="49">
        <v>949129282</v>
      </c>
      <c r="I30" s="49" t="s">
        <v>115</v>
      </c>
      <c r="J30" s="45">
        <v>15000</v>
      </c>
      <c r="K30" s="40">
        <v>2.7</v>
      </c>
      <c r="L30" s="45">
        <v>15000</v>
      </c>
      <c r="M30" s="45">
        <v>40500</v>
      </c>
      <c r="N30" s="45" t="s">
        <v>38</v>
      </c>
      <c r="O30" s="47">
        <v>46237</v>
      </c>
      <c r="P30" s="47">
        <v>46238</v>
      </c>
      <c r="Q30" s="47">
        <v>46241</v>
      </c>
      <c r="R30" s="47">
        <v>46242</v>
      </c>
      <c r="S30" s="47"/>
      <c r="T30" s="31">
        <f ca="1" t="shared" si="5"/>
        <v>25.2965277777985</v>
      </c>
      <c r="U30" s="47"/>
      <c r="V30" s="3"/>
      <c r="W30" s="51">
        <f t="shared" si="6"/>
        <v>1</v>
      </c>
      <c r="X30" s="1">
        <f t="shared" si="7"/>
        <v>3</v>
      </c>
      <c r="Y30" s="1">
        <f t="shared" si="8"/>
        <v>1</v>
      </c>
      <c r="XEZ30" s="56"/>
      <c r="XFA30" s="57"/>
      <c r="XFB30" s="58"/>
      <c r="XFC30" s="58"/>
      <c r="XFD30" s="59"/>
    </row>
    <row r="31" s="1" customFormat="1" ht="12" customHeight="1" spans="1:26 16380:16384">
      <c r="A31" s="45" t="s">
        <v>116</v>
      </c>
      <c r="B31" s="46">
        <v>46235.7048611111</v>
      </c>
      <c r="C31" s="47" t="s">
        <v>117</v>
      </c>
      <c r="D31" s="47"/>
      <c r="E31" s="48"/>
      <c r="F31" s="41" t="s">
        <v>64</v>
      </c>
      <c r="G31" s="45" t="s">
        <v>30</v>
      </c>
      <c r="H31" s="49" t="s">
        <v>118</v>
      </c>
      <c r="I31" s="49" t="s">
        <v>119</v>
      </c>
      <c r="J31" s="45">
        <v>52000</v>
      </c>
      <c r="K31" s="40">
        <v>3</v>
      </c>
      <c r="L31" s="45">
        <f>52000-25700</f>
        <v>26300</v>
      </c>
      <c r="M31" s="45">
        <f>+L31*K31</f>
        <v>78900</v>
      </c>
      <c r="N31" s="45" t="s">
        <v>71</v>
      </c>
      <c r="O31" s="47">
        <v>46237</v>
      </c>
      <c r="P31" s="47"/>
      <c r="Q31" s="47"/>
      <c r="R31" s="47"/>
      <c r="S31" s="47"/>
      <c r="T31" s="31">
        <f ca="1" t="shared" si="5"/>
        <v>25.2951388888978</v>
      </c>
      <c r="U31" s="47"/>
      <c r="V31" s="3"/>
      <c r="W31" s="51"/>
      <c r="XEZ31" s="56"/>
      <c r="XFA31" s="57"/>
      <c r="XFB31" s="58"/>
      <c r="XFC31" s="58"/>
      <c r="XFD31" s="59"/>
    </row>
    <row r="32" s="1" customFormat="1" ht="14.1" customHeight="1" spans="1:26 16380:16384">
      <c r="A32" s="46" t="s">
        <v>120</v>
      </c>
      <c r="B32" s="46">
        <v>46237</v>
      </c>
      <c r="C32" s="47">
        <v>9500223893</v>
      </c>
      <c r="D32" s="47">
        <v>46235</v>
      </c>
      <c r="E32" s="48" t="s">
        <v>44</v>
      </c>
      <c r="F32" s="41" t="s">
        <v>121</v>
      </c>
      <c r="G32" s="45" t="s">
        <v>35</v>
      </c>
      <c r="H32" s="49" t="s">
        <v>122</v>
      </c>
      <c r="I32" s="49" t="s">
        <v>123</v>
      </c>
      <c r="J32" s="45">
        <v>18000</v>
      </c>
      <c r="K32" s="40">
        <v>4.15</v>
      </c>
      <c r="L32" s="45">
        <v>18000</v>
      </c>
      <c r="M32" s="45">
        <v>74700</v>
      </c>
      <c r="N32" s="45" t="s">
        <v>124</v>
      </c>
      <c r="O32" s="47">
        <v>46240</v>
      </c>
      <c r="P32" s="47">
        <v>46244</v>
      </c>
      <c r="Q32" s="47">
        <v>46251</v>
      </c>
      <c r="R32" s="47"/>
      <c r="S32" s="47"/>
      <c r="T32" s="31">
        <f ca="1" t="shared" ref="T32:T35" si="9">TODAY()-U32</f>
        <v>20</v>
      </c>
      <c r="U32" s="47">
        <v>46241</v>
      </c>
      <c r="V32" s="3"/>
      <c r="W32" s="51">
        <f t="shared" ref="W32:W35" si="10">+P32-O32</f>
        <v>4</v>
      </c>
      <c r="X32" s="1">
        <f t="shared" ref="X32:X35" si="11">+Q32-P32</f>
        <v>7</v>
      </c>
      <c r="XEZ32" s="56"/>
      <c r="XFA32" s="57"/>
      <c r="XFB32" s="58"/>
      <c r="XFC32" s="58"/>
      <c r="XFD32" s="59"/>
    </row>
    <row r="33" s="1" customFormat="1" ht="14.1" customHeight="1" spans="1:25 16380:16384">
      <c r="A33" s="46" t="s">
        <v>125</v>
      </c>
      <c r="B33" s="46">
        <v>46237</v>
      </c>
      <c r="C33" s="47">
        <v>9500223893</v>
      </c>
      <c r="D33" s="47">
        <v>46235</v>
      </c>
      <c r="E33" s="48" t="s">
        <v>44</v>
      </c>
      <c r="F33" s="41" t="s">
        <v>121</v>
      </c>
      <c r="G33" s="45" t="s">
        <v>35</v>
      </c>
      <c r="H33" s="49" t="s">
        <v>126</v>
      </c>
      <c r="I33" s="49" t="s">
        <v>127</v>
      </c>
      <c r="J33" s="45">
        <v>2000</v>
      </c>
      <c r="K33" s="40">
        <v>11.5</v>
      </c>
      <c r="L33" s="45">
        <v>2000</v>
      </c>
      <c r="M33" s="45">
        <v>23000</v>
      </c>
      <c r="N33" s="45" t="s">
        <v>79</v>
      </c>
      <c r="O33" s="47">
        <v>46240</v>
      </c>
      <c r="P33" s="47">
        <v>46244</v>
      </c>
      <c r="Q33" s="47"/>
      <c r="R33" s="47"/>
      <c r="S33" s="50">
        <v>46261</v>
      </c>
      <c r="T33" s="31">
        <f ca="1" t="shared" si="9"/>
        <v>20</v>
      </c>
      <c r="U33" s="47">
        <v>46241</v>
      </c>
      <c r="V33" s="3"/>
      <c r="W33" s="51">
        <f t="shared" si="10"/>
        <v>4</v>
      </c>
      <c r="XEZ33" s="56"/>
      <c r="XFA33" s="57"/>
      <c r="XFB33" s="58"/>
      <c r="XFC33" s="58"/>
      <c r="XFD33" s="59"/>
    </row>
    <row r="34" s="1" customFormat="1" ht="14.1" customHeight="1" spans="1:25 16380:16384">
      <c r="A34" s="46" t="s">
        <v>128</v>
      </c>
      <c r="B34" s="46">
        <v>46237</v>
      </c>
      <c r="C34" s="47">
        <v>9500223893</v>
      </c>
      <c r="D34" s="47">
        <v>46235</v>
      </c>
      <c r="E34" s="48" t="s">
        <v>44</v>
      </c>
      <c r="F34" s="41" t="s">
        <v>121</v>
      </c>
      <c r="G34" s="45" t="s">
        <v>35</v>
      </c>
      <c r="H34" s="49">
        <v>2093374</v>
      </c>
      <c r="I34" s="49" t="s">
        <v>129</v>
      </c>
      <c r="J34" s="45">
        <v>15000</v>
      </c>
      <c r="K34" s="40">
        <v>3.1</v>
      </c>
      <c r="L34" s="45">
        <v>15000</v>
      </c>
      <c r="M34" s="45">
        <v>46500</v>
      </c>
      <c r="N34" s="45" t="s">
        <v>124</v>
      </c>
      <c r="O34" s="47">
        <v>46240</v>
      </c>
      <c r="P34" s="47">
        <v>46244</v>
      </c>
      <c r="Q34" s="47">
        <v>46256</v>
      </c>
      <c r="R34" s="47"/>
      <c r="S34" s="50">
        <v>46261</v>
      </c>
      <c r="T34" s="31">
        <f ca="1" t="shared" si="9"/>
        <v>20</v>
      </c>
      <c r="U34" s="47">
        <v>46241</v>
      </c>
      <c r="V34" s="3"/>
      <c r="W34" s="51">
        <f t="shared" si="10"/>
        <v>4</v>
      </c>
      <c r="X34" s="1">
        <f t="shared" si="11"/>
        <v>12</v>
      </c>
      <c r="XEZ34" s="56"/>
      <c r="XFA34" s="57"/>
      <c r="XFB34" s="58"/>
      <c r="XFC34" s="58"/>
      <c r="XFD34" s="59"/>
    </row>
    <row r="35" s="1" customFormat="1" ht="14.1" customHeight="1" spans="1:25 16380:16384">
      <c r="A35" s="46" t="s">
        <v>130</v>
      </c>
      <c r="B35" s="46">
        <v>46237</v>
      </c>
      <c r="C35" s="47">
        <v>9500223893</v>
      </c>
      <c r="D35" s="47">
        <v>46235</v>
      </c>
      <c r="E35" s="48" t="s">
        <v>44</v>
      </c>
      <c r="F35" s="41" t="s">
        <v>121</v>
      </c>
      <c r="G35" s="45" t="s">
        <v>35</v>
      </c>
      <c r="H35" s="49">
        <v>2108135</v>
      </c>
      <c r="I35" s="49" t="s">
        <v>131</v>
      </c>
      <c r="J35" s="45">
        <v>12000</v>
      </c>
      <c r="K35" s="40">
        <v>4</v>
      </c>
      <c r="L35" s="45">
        <v>12000</v>
      </c>
      <c r="M35" s="45">
        <v>48000</v>
      </c>
      <c r="N35" s="45" t="s">
        <v>38</v>
      </c>
      <c r="O35" s="47">
        <v>46240</v>
      </c>
      <c r="P35" s="47">
        <v>46244</v>
      </c>
      <c r="Q35" s="47">
        <v>46256</v>
      </c>
      <c r="R35" s="47">
        <v>46260</v>
      </c>
      <c r="S35" s="50">
        <v>46261</v>
      </c>
      <c r="T35" s="31">
        <f ca="1" t="shared" si="9"/>
        <v>20</v>
      </c>
      <c r="U35" s="47">
        <v>46241</v>
      </c>
      <c r="V35" s="3"/>
      <c r="W35" s="51">
        <f t="shared" si="10"/>
        <v>4</v>
      </c>
      <c r="X35" s="1">
        <f t="shared" si="11"/>
        <v>12</v>
      </c>
      <c r="XEZ35" s="56"/>
      <c r="XFA35" s="57"/>
      <c r="XFB35" s="58"/>
      <c r="XFC35" s="58"/>
      <c r="XFD35" s="59"/>
    </row>
    <row r="36" s="1" customFormat="1" ht="14.1" customHeight="1" spans="1:25 16380:16384">
      <c r="A36" s="46" t="s">
        <v>132</v>
      </c>
      <c r="B36" s="46">
        <v>46237</v>
      </c>
      <c r="C36" s="47">
        <v>4510211732</v>
      </c>
      <c r="D36" s="47">
        <v>46234</v>
      </c>
      <c r="E36" s="48" t="s">
        <v>133</v>
      </c>
      <c r="F36" s="41" t="s">
        <v>134</v>
      </c>
      <c r="G36" s="45" t="s">
        <v>30</v>
      </c>
      <c r="H36" s="49" t="s">
        <v>135</v>
      </c>
      <c r="I36" s="49" t="s">
        <v>136</v>
      </c>
      <c r="J36" s="45">
        <v>74700</v>
      </c>
      <c r="K36" s="40">
        <v>1.3716</v>
      </c>
      <c r="L36" s="45">
        <v>74700</v>
      </c>
      <c r="M36" s="45">
        <v>102458.52</v>
      </c>
      <c r="N36" s="45" t="s">
        <v>32</v>
      </c>
      <c r="O36" s="47">
        <v>46239</v>
      </c>
      <c r="P36" s="47"/>
      <c r="Q36" s="47"/>
      <c r="R36" s="47"/>
      <c r="S36" s="47"/>
      <c r="T36" s="31">
        <f ca="1" t="shared" ref="T36:T44" si="12">TODAY()-B36</f>
        <v>24</v>
      </c>
      <c r="U36" s="47"/>
      <c r="V36" s="3"/>
      <c r="W36" s="51"/>
      <c r="XEZ36" s="56"/>
      <c r="XFA36" s="57"/>
      <c r="XFB36" s="58"/>
      <c r="XFC36" s="58"/>
      <c r="XFD36" s="59"/>
    </row>
    <row r="37" s="1" customFormat="1" ht="14.1" customHeight="1" spans="1:25 16380:16384">
      <c r="A37" s="46" t="s">
        <v>137</v>
      </c>
      <c r="B37" s="46">
        <v>46237</v>
      </c>
      <c r="C37" s="47">
        <v>8110001410</v>
      </c>
      <c r="D37" s="47">
        <v>46234</v>
      </c>
      <c r="E37" s="48" t="s">
        <v>40</v>
      </c>
      <c r="F37" s="60" t="s">
        <v>29</v>
      </c>
      <c r="G37" s="45" t="s">
        <v>35</v>
      </c>
      <c r="H37" s="49">
        <v>1054208</v>
      </c>
      <c r="I37" s="49" t="s">
        <v>138</v>
      </c>
      <c r="J37" s="45">
        <v>25000</v>
      </c>
      <c r="K37" s="40">
        <v>4.05</v>
      </c>
      <c r="L37" s="45">
        <v>25000</v>
      </c>
      <c r="M37" s="45">
        <v>101250</v>
      </c>
      <c r="N37" s="45" t="s">
        <v>38</v>
      </c>
      <c r="O37" s="47">
        <v>46245</v>
      </c>
      <c r="P37" s="47">
        <v>46255</v>
      </c>
      <c r="Q37" s="47">
        <v>46259</v>
      </c>
      <c r="R37" s="47">
        <v>46260</v>
      </c>
      <c r="S37" s="50">
        <v>46262</v>
      </c>
      <c r="T37" s="31">
        <f ca="1">TODAY()-U37</f>
        <v>7</v>
      </c>
      <c r="U37" s="47">
        <v>46254</v>
      </c>
      <c r="V37" s="3"/>
      <c r="XEZ37" s="56"/>
      <c r="XFA37" s="57"/>
      <c r="XFB37" s="58"/>
      <c r="XFC37" s="58"/>
      <c r="XFD37" s="59"/>
    </row>
    <row r="38" s="1" customFormat="1" ht="14.1" customHeight="1" spans="1:25 16380:16384">
      <c r="A38" s="46" t="s">
        <v>139</v>
      </c>
      <c r="B38" s="46">
        <v>46237</v>
      </c>
      <c r="C38" s="47">
        <v>8110001410</v>
      </c>
      <c r="D38" s="47">
        <v>46234</v>
      </c>
      <c r="E38" s="48" t="s">
        <v>40</v>
      </c>
      <c r="F38" s="60" t="s">
        <v>29</v>
      </c>
      <c r="G38" s="45" t="s">
        <v>35</v>
      </c>
      <c r="H38" s="49">
        <v>1054446</v>
      </c>
      <c r="I38" s="49" t="s">
        <v>140</v>
      </c>
      <c r="J38" s="45">
        <v>45000</v>
      </c>
      <c r="K38" s="40">
        <v>4.5</v>
      </c>
      <c r="L38" s="45">
        <v>45000</v>
      </c>
      <c r="M38" s="45">
        <v>202500</v>
      </c>
      <c r="N38" s="45" t="s">
        <v>79</v>
      </c>
      <c r="O38" s="47">
        <v>46245</v>
      </c>
      <c r="P38" s="47">
        <v>46255</v>
      </c>
      <c r="Q38" s="47"/>
      <c r="R38" s="47"/>
      <c r="S38" s="47"/>
      <c r="T38" s="31">
        <f ca="1">TODAY()-U38</f>
        <v>5</v>
      </c>
      <c r="U38" s="47">
        <v>46256</v>
      </c>
      <c r="V38" s="3"/>
      <c r="XEZ38" s="56"/>
      <c r="XFA38" s="57"/>
      <c r="XFB38" s="58"/>
      <c r="XFC38" s="58"/>
      <c r="XFD38" s="59"/>
    </row>
    <row r="39" s="1" customFormat="1" ht="14.1" customHeight="1" spans="1:25 16380:16384">
      <c r="A39" s="46" t="s">
        <v>141</v>
      </c>
      <c r="B39" s="46">
        <v>46239.7333333333</v>
      </c>
      <c r="C39" s="47" t="s">
        <v>142</v>
      </c>
      <c r="D39" s="47"/>
      <c r="E39" s="48"/>
      <c r="F39" s="60" t="s">
        <v>29</v>
      </c>
      <c r="G39" s="45" t="s">
        <v>30</v>
      </c>
      <c r="H39" s="49">
        <v>1050830</v>
      </c>
      <c r="I39" s="49" t="s">
        <v>143</v>
      </c>
      <c r="J39" s="45">
        <v>65000</v>
      </c>
      <c r="K39" s="40">
        <v>2.04</v>
      </c>
      <c r="L39" s="45">
        <v>65000</v>
      </c>
      <c r="M39" s="45">
        <v>132600</v>
      </c>
      <c r="N39" s="45" t="s">
        <v>38</v>
      </c>
      <c r="O39" s="47">
        <v>46240</v>
      </c>
      <c r="P39" s="47">
        <v>46245</v>
      </c>
      <c r="Q39" s="47">
        <v>46259</v>
      </c>
      <c r="R39" s="47">
        <v>46260</v>
      </c>
      <c r="S39" s="50">
        <v>46263</v>
      </c>
      <c r="T39" s="31">
        <f ca="1" t="shared" si="12"/>
        <v>21.2666666666992</v>
      </c>
      <c r="U39" s="47"/>
      <c r="V39" s="3"/>
      <c r="W39" s="51">
        <f t="shared" ref="W39:W45" si="13">+P39-O39</f>
        <v>5</v>
      </c>
      <c r="X39" s="1">
        <f t="shared" ref="X39:X44" si="14">+Q39-P39</f>
        <v>14</v>
      </c>
      <c r="XEZ39" s="56"/>
      <c r="XFA39" s="57"/>
      <c r="XFB39" s="58"/>
      <c r="XFC39" s="58"/>
      <c r="XFD39" s="59"/>
    </row>
    <row r="40" s="1" customFormat="1" ht="14.1" customHeight="1" spans="1:25 16380:16384">
      <c r="A40" s="46" t="s">
        <v>144</v>
      </c>
      <c r="B40" s="46">
        <v>46239.7375</v>
      </c>
      <c r="C40" s="47" t="s">
        <v>145</v>
      </c>
      <c r="D40" s="47"/>
      <c r="E40" s="48"/>
      <c r="F40" s="60" t="s">
        <v>29</v>
      </c>
      <c r="G40" s="45" t="s">
        <v>30</v>
      </c>
      <c r="H40" s="49">
        <v>1050842</v>
      </c>
      <c r="I40" s="49" t="s">
        <v>146</v>
      </c>
      <c r="J40" s="45">
        <v>125000</v>
      </c>
      <c r="K40" s="40">
        <v>1.68</v>
      </c>
      <c r="L40" s="45">
        <v>125000</v>
      </c>
      <c r="M40" s="45">
        <v>210000</v>
      </c>
      <c r="N40" s="45" t="s">
        <v>38</v>
      </c>
      <c r="O40" s="47">
        <v>46240</v>
      </c>
      <c r="P40" s="47">
        <v>46256</v>
      </c>
      <c r="Q40" s="47">
        <v>46258</v>
      </c>
      <c r="R40" s="47">
        <v>46260</v>
      </c>
      <c r="S40" s="50">
        <v>46263</v>
      </c>
      <c r="T40" s="31">
        <f ca="1" t="shared" si="12"/>
        <v>21.2624999999971</v>
      </c>
      <c r="U40" s="47"/>
      <c r="V40" s="3"/>
      <c r="W40" s="51">
        <f t="shared" si="13"/>
        <v>16</v>
      </c>
      <c r="X40" s="1">
        <f t="shared" si="14"/>
        <v>2</v>
      </c>
      <c r="XEZ40" s="56"/>
      <c r="XFA40" s="57"/>
      <c r="XFB40" s="58"/>
      <c r="XFC40" s="58"/>
      <c r="XFD40" s="59"/>
    </row>
    <row r="41" s="1" customFormat="1" ht="14.1" customHeight="1" spans="1:25 16380:16384">
      <c r="A41" s="46" t="s">
        <v>147</v>
      </c>
      <c r="B41" s="46">
        <v>46239.7395833333</v>
      </c>
      <c r="C41" s="47" t="s">
        <v>145</v>
      </c>
      <c r="D41" s="47"/>
      <c r="E41" s="48"/>
      <c r="F41" s="60" t="s">
        <v>29</v>
      </c>
      <c r="G41" s="45" t="s">
        <v>30</v>
      </c>
      <c r="H41" s="49">
        <v>1050843</v>
      </c>
      <c r="I41" s="49" t="s">
        <v>148</v>
      </c>
      <c r="J41" s="45">
        <v>235000</v>
      </c>
      <c r="K41" s="40">
        <v>1.68</v>
      </c>
      <c r="L41" s="45">
        <v>235000</v>
      </c>
      <c r="M41" s="45">
        <v>394800</v>
      </c>
      <c r="N41" s="45" t="s">
        <v>38</v>
      </c>
      <c r="O41" s="47">
        <v>46240</v>
      </c>
      <c r="P41" s="47">
        <v>46256</v>
      </c>
      <c r="Q41" s="47">
        <v>46258</v>
      </c>
      <c r="R41" s="47">
        <v>46259</v>
      </c>
      <c r="S41" s="50">
        <v>46263</v>
      </c>
      <c r="T41" s="31">
        <f ca="1" t="shared" si="12"/>
        <v>21.2604166667006</v>
      </c>
      <c r="U41" s="47"/>
      <c r="V41" s="3"/>
      <c r="W41" s="51">
        <f t="shared" si="13"/>
        <v>16</v>
      </c>
      <c r="X41" s="1">
        <f t="shared" si="14"/>
        <v>2</v>
      </c>
      <c r="Y41" s="1">
        <f t="shared" ref="Y41:Y44" si="15">+R41-Q41</f>
        <v>1</v>
      </c>
      <c r="XEZ41" s="56"/>
      <c r="XFA41" s="57"/>
      <c r="XFB41" s="58"/>
      <c r="XFC41" s="58"/>
      <c r="XFD41" s="59"/>
    </row>
    <row r="42" s="1" customFormat="1" ht="14.1" customHeight="1" spans="1:25 16380:16384">
      <c r="A42" s="46" t="s">
        <v>149</v>
      </c>
      <c r="B42" s="46">
        <v>46239.75625</v>
      </c>
      <c r="C42" s="47" t="s">
        <v>150</v>
      </c>
      <c r="D42" s="47"/>
      <c r="E42" s="48"/>
      <c r="F42" s="41" t="s">
        <v>29</v>
      </c>
      <c r="G42" s="45" t="s">
        <v>30</v>
      </c>
      <c r="H42" s="49">
        <v>1050167</v>
      </c>
      <c r="I42" s="49" t="s">
        <v>151</v>
      </c>
      <c r="J42" s="45">
        <v>200000</v>
      </c>
      <c r="K42" s="40">
        <v>1.57</v>
      </c>
      <c r="L42" s="45">
        <v>200000</v>
      </c>
      <c r="M42" s="45">
        <v>314000</v>
      </c>
      <c r="N42" s="45" t="s">
        <v>38</v>
      </c>
      <c r="O42" s="47">
        <v>46240</v>
      </c>
      <c r="P42" s="47">
        <v>46245</v>
      </c>
      <c r="Q42" s="47">
        <v>46247</v>
      </c>
      <c r="R42" s="47">
        <v>46252</v>
      </c>
      <c r="S42" s="50">
        <v>46258</v>
      </c>
      <c r="T42" s="31">
        <f ca="1" t="shared" si="12"/>
        <v>21.2437500000015</v>
      </c>
      <c r="U42" s="47"/>
      <c r="V42" s="3"/>
      <c r="W42" s="51">
        <f t="shared" si="13"/>
        <v>5</v>
      </c>
      <c r="X42" s="1">
        <f t="shared" si="14"/>
        <v>2</v>
      </c>
      <c r="Y42" s="1">
        <f t="shared" si="15"/>
        <v>5</v>
      </c>
      <c r="XEZ42" s="56"/>
      <c r="XFA42" s="57"/>
      <c r="XFB42" s="58"/>
      <c r="XFC42" s="58"/>
      <c r="XFD42" s="59"/>
    </row>
    <row r="43" s="1" customFormat="1" ht="14.1" customHeight="1" spans="1:25 16380:16384">
      <c r="A43" s="46" t="s">
        <v>152</v>
      </c>
      <c r="B43" s="46">
        <v>46239.7652777778</v>
      </c>
      <c r="C43" s="47" t="s">
        <v>153</v>
      </c>
      <c r="D43" s="47"/>
      <c r="E43" s="48"/>
      <c r="F43" s="41" t="s">
        <v>45</v>
      </c>
      <c r="G43" s="45" t="s">
        <v>30</v>
      </c>
      <c r="H43" s="49">
        <v>2094117</v>
      </c>
      <c r="I43" s="49" t="s">
        <v>154</v>
      </c>
      <c r="J43" s="45">
        <v>155000</v>
      </c>
      <c r="K43" s="40">
        <v>1.84</v>
      </c>
      <c r="L43" s="45">
        <v>155000</v>
      </c>
      <c r="M43" s="45">
        <v>285200</v>
      </c>
      <c r="N43" s="45" t="s">
        <v>38</v>
      </c>
      <c r="O43" s="47">
        <v>46240</v>
      </c>
      <c r="P43" s="47">
        <v>46251</v>
      </c>
      <c r="Q43" s="47">
        <v>46252</v>
      </c>
      <c r="R43" s="47">
        <v>46256</v>
      </c>
      <c r="S43" s="50">
        <v>46260</v>
      </c>
      <c r="T43" s="31">
        <f ca="1" t="shared" si="12"/>
        <v>21.2347222222015</v>
      </c>
      <c r="U43" s="47"/>
      <c r="V43" s="3"/>
      <c r="W43" s="51">
        <f t="shared" si="13"/>
        <v>11</v>
      </c>
      <c r="X43" s="1">
        <f t="shared" si="14"/>
        <v>1</v>
      </c>
      <c r="Y43" s="1">
        <f t="shared" si="15"/>
        <v>4</v>
      </c>
      <c r="XEZ43" s="56"/>
      <c r="XFA43" s="57"/>
      <c r="XFB43" s="58"/>
      <c r="XFC43" s="58"/>
      <c r="XFD43" s="59"/>
    </row>
    <row r="44" s="1" customFormat="1" ht="14.1" customHeight="1" spans="1:25 16380:16384">
      <c r="A44" s="46" t="s">
        <v>155</v>
      </c>
      <c r="B44" s="46">
        <v>46240</v>
      </c>
      <c r="C44" s="47" t="s">
        <v>156</v>
      </c>
      <c r="D44" s="47">
        <v>46240</v>
      </c>
      <c r="E44" s="48" t="s">
        <v>40</v>
      </c>
      <c r="F44" s="41" t="s">
        <v>41</v>
      </c>
      <c r="G44" s="45" t="s">
        <v>30</v>
      </c>
      <c r="H44" s="49">
        <v>113010499</v>
      </c>
      <c r="I44" s="49" t="s">
        <v>157</v>
      </c>
      <c r="J44" s="45">
        <v>1500</v>
      </c>
      <c r="K44" s="40">
        <v>14.1</v>
      </c>
      <c r="L44" s="45">
        <v>21150</v>
      </c>
      <c r="M44" s="45">
        <v>21150</v>
      </c>
      <c r="N44" s="45" t="s">
        <v>38</v>
      </c>
      <c r="O44" s="47">
        <v>46241</v>
      </c>
      <c r="P44" s="47">
        <v>46244</v>
      </c>
      <c r="Q44" s="47">
        <v>46251</v>
      </c>
      <c r="R44" s="47">
        <v>46252</v>
      </c>
      <c r="S44" s="47"/>
      <c r="T44" s="31">
        <f ca="1" t="shared" si="12"/>
        <v>21</v>
      </c>
      <c r="U44" s="47"/>
      <c r="V44" s="3"/>
      <c r="W44" s="51">
        <f t="shared" si="13"/>
        <v>3</v>
      </c>
      <c r="X44" s="1">
        <f t="shared" si="14"/>
        <v>7</v>
      </c>
      <c r="Y44" s="1">
        <f t="shared" si="15"/>
        <v>1</v>
      </c>
      <c r="XEZ44" s="56"/>
      <c r="XFA44" s="57"/>
      <c r="XFB44" s="58"/>
      <c r="XFC44" s="58"/>
      <c r="XFD44" s="59"/>
    </row>
    <row r="45" s="1" customFormat="1" ht="14.1" customHeight="1" spans="1:25 16380:16384">
      <c r="A45" s="46" t="s">
        <v>158</v>
      </c>
      <c r="B45" s="46">
        <v>46240</v>
      </c>
      <c r="C45" s="47">
        <v>9500224642</v>
      </c>
      <c r="D45" s="47">
        <v>46238</v>
      </c>
      <c r="E45" s="48" t="s">
        <v>44</v>
      </c>
      <c r="F45" s="41" t="s">
        <v>45</v>
      </c>
      <c r="G45" s="45" t="s">
        <v>35</v>
      </c>
      <c r="H45" s="49">
        <v>2111674</v>
      </c>
      <c r="I45" s="49" t="s">
        <v>159</v>
      </c>
      <c r="J45" s="45">
        <v>6000</v>
      </c>
      <c r="K45" s="40">
        <v>11</v>
      </c>
      <c r="L45" s="45">
        <v>66000</v>
      </c>
      <c r="M45" s="45">
        <v>66000</v>
      </c>
      <c r="N45" s="45" t="s">
        <v>79</v>
      </c>
      <c r="O45" s="47">
        <v>46253</v>
      </c>
      <c r="P45" s="47">
        <v>46253</v>
      </c>
      <c r="Q45" s="47"/>
      <c r="R45" s="47"/>
      <c r="S45" s="47"/>
      <c r="T45" s="31">
        <f ca="1" t="shared" ref="T45:T49" si="16">TODAY()-U45</f>
        <v>14</v>
      </c>
      <c r="U45" s="47">
        <v>46247</v>
      </c>
      <c r="V45" s="3"/>
      <c r="W45" s="51">
        <f t="shared" si="13"/>
        <v>0</v>
      </c>
      <c r="XEZ45" s="56"/>
      <c r="XFA45" s="57"/>
      <c r="XFB45" s="58"/>
      <c r="XFC45" s="58"/>
      <c r="XFD45" s="59"/>
    </row>
    <row r="46" s="1" customFormat="1" ht="14.1" customHeight="1" spans="1:25 16380:16384">
      <c r="A46" s="46" t="s">
        <v>160</v>
      </c>
      <c r="B46" s="46">
        <v>46240</v>
      </c>
      <c r="C46" s="47">
        <v>9500224642</v>
      </c>
      <c r="D46" s="47">
        <v>46238</v>
      </c>
      <c r="E46" s="48" t="s">
        <v>44</v>
      </c>
      <c r="F46" s="41" t="s">
        <v>45</v>
      </c>
      <c r="G46" s="45" t="s">
        <v>35</v>
      </c>
      <c r="H46" s="49">
        <v>2111350</v>
      </c>
      <c r="I46" s="49" t="s">
        <v>161</v>
      </c>
      <c r="J46" s="45">
        <v>2000</v>
      </c>
      <c r="K46" s="40">
        <v>11</v>
      </c>
      <c r="L46" s="45">
        <v>22000</v>
      </c>
      <c r="M46" s="45">
        <v>22000</v>
      </c>
      <c r="N46" s="47" t="s">
        <v>18</v>
      </c>
      <c r="O46" s="47">
        <v>46253</v>
      </c>
      <c r="P46" s="47">
        <v>46253</v>
      </c>
      <c r="Q46" s="47"/>
      <c r="R46" s="47"/>
      <c r="S46" s="47"/>
      <c r="T46" s="31">
        <f ca="1" t="shared" si="16"/>
        <v>2</v>
      </c>
      <c r="U46" s="62">
        <v>46259</v>
      </c>
      <c r="V46" s="3"/>
      <c r="XEZ46" s="56"/>
      <c r="XFA46" s="57"/>
      <c r="XFB46" s="58"/>
      <c r="XFC46" s="58"/>
      <c r="XFD46" s="59"/>
    </row>
    <row r="47" s="1" customFormat="1" ht="14.1" customHeight="1" spans="1:25 16380:16384">
      <c r="A47" s="46" t="s">
        <v>162</v>
      </c>
      <c r="B47" s="46">
        <v>46240</v>
      </c>
      <c r="C47" s="47">
        <v>111043456</v>
      </c>
      <c r="D47" s="47" t="s">
        <v>163</v>
      </c>
      <c r="E47" s="48" t="s">
        <v>40</v>
      </c>
      <c r="F47" s="41" t="s">
        <v>41</v>
      </c>
      <c r="G47" s="45" t="s">
        <v>35</v>
      </c>
      <c r="H47" s="49">
        <v>113008130</v>
      </c>
      <c r="I47" s="49" t="s">
        <v>164</v>
      </c>
      <c r="J47" s="45">
        <v>5000</v>
      </c>
      <c r="K47" s="40">
        <v>14.3</v>
      </c>
      <c r="L47" s="45">
        <v>71500</v>
      </c>
      <c r="M47" s="45">
        <v>71500</v>
      </c>
      <c r="N47" s="45" t="s">
        <v>18</v>
      </c>
      <c r="O47" s="47">
        <v>46254</v>
      </c>
      <c r="P47" s="47">
        <v>46255</v>
      </c>
      <c r="Q47" s="47"/>
      <c r="R47" s="47"/>
      <c r="S47" s="47"/>
      <c r="T47" s="31">
        <f ca="1" t="shared" si="16"/>
        <v>14</v>
      </c>
      <c r="U47" s="47">
        <v>46247</v>
      </c>
      <c r="V47" s="3"/>
      <c r="W47" s="51">
        <f t="shared" ref="W47:W53" si="17">+P47-O47</f>
        <v>1</v>
      </c>
      <c r="XEZ47" s="56"/>
      <c r="XFA47" s="57"/>
      <c r="XFB47" s="58"/>
      <c r="XFC47" s="58"/>
      <c r="XFD47" s="59"/>
    </row>
    <row r="48" s="1" customFormat="1" ht="14.1" customHeight="1" spans="1:25 16380:16384">
      <c r="A48" s="46" t="s">
        <v>165</v>
      </c>
      <c r="B48" s="46">
        <v>46240</v>
      </c>
      <c r="C48" s="47">
        <v>111043456</v>
      </c>
      <c r="D48" s="47" t="s">
        <v>163</v>
      </c>
      <c r="E48" s="48" t="s">
        <v>40</v>
      </c>
      <c r="F48" s="41" t="s">
        <v>41</v>
      </c>
      <c r="G48" s="45" t="s">
        <v>35</v>
      </c>
      <c r="H48" s="49">
        <v>113011420</v>
      </c>
      <c r="I48" s="49" t="s">
        <v>166</v>
      </c>
      <c r="J48" s="45">
        <v>2500</v>
      </c>
      <c r="K48" s="40">
        <v>14</v>
      </c>
      <c r="L48" s="45">
        <v>35000</v>
      </c>
      <c r="M48" s="45">
        <v>35000</v>
      </c>
      <c r="N48" s="45" t="s">
        <v>79</v>
      </c>
      <c r="O48" s="47">
        <v>46253</v>
      </c>
      <c r="P48" s="47">
        <v>46253</v>
      </c>
      <c r="Q48" s="47"/>
      <c r="R48" s="47"/>
      <c r="S48" s="47"/>
      <c r="T48" s="31">
        <f ca="1" t="shared" si="16"/>
        <v>15</v>
      </c>
      <c r="U48" s="47">
        <v>46246</v>
      </c>
      <c r="V48" s="3"/>
      <c r="W48" s="51">
        <f t="shared" si="17"/>
        <v>0</v>
      </c>
      <c r="XEZ48" s="56"/>
      <c r="XFA48" s="57"/>
      <c r="XFB48" s="58"/>
      <c r="XFC48" s="58"/>
      <c r="XFD48" s="59"/>
    </row>
    <row r="49" s="1" customFormat="1" ht="14.1" customHeight="1" spans="1:25 16376:16384">
      <c r="A49" s="46" t="s">
        <v>167</v>
      </c>
      <c r="B49" s="46">
        <v>46240</v>
      </c>
      <c r="C49" s="47">
        <v>111043456</v>
      </c>
      <c r="D49" s="47" t="s">
        <v>163</v>
      </c>
      <c r="E49" s="48" t="s">
        <v>40</v>
      </c>
      <c r="F49" s="41" t="s">
        <v>41</v>
      </c>
      <c r="G49" s="45" t="s">
        <v>35</v>
      </c>
      <c r="H49" s="49">
        <v>113012557</v>
      </c>
      <c r="I49" s="49" t="s">
        <v>168</v>
      </c>
      <c r="J49" s="45">
        <v>23500</v>
      </c>
      <c r="K49" s="40">
        <v>2.6</v>
      </c>
      <c r="L49" s="45">
        <v>61100</v>
      </c>
      <c r="M49" s="45">
        <v>61100</v>
      </c>
      <c r="N49" s="45" t="s">
        <v>79</v>
      </c>
      <c r="O49" s="47">
        <v>46253</v>
      </c>
      <c r="P49" s="47">
        <v>46253</v>
      </c>
      <c r="Q49" s="47"/>
      <c r="R49" s="47"/>
      <c r="S49" s="47"/>
      <c r="T49" s="31">
        <f ca="1" t="shared" si="16"/>
        <v>15</v>
      </c>
      <c r="U49" s="47">
        <v>46246</v>
      </c>
      <c r="V49" s="3"/>
      <c r="W49" s="51">
        <f t="shared" si="17"/>
        <v>0</v>
      </c>
      <c r="XEZ49" s="56"/>
      <c r="XFA49" s="57"/>
      <c r="XFB49" s="58"/>
      <c r="XFC49" s="58"/>
      <c r="XFD49" s="59"/>
    </row>
    <row r="50" s="1" customFormat="1" ht="14.1" customHeight="1" spans="1:25 16376:16384">
      <c r="A50" s="46" t="s">
        <v>169</v>
      </c>
      <c r="B50" s="46">
        <v>46240</v>
      </c>
      <c r="C50" s="47">
        <v>111043456</v>
      </c>
      <c r="D50" s="47" t="s">
        <v>163</v>
      </c>
      <c r="E50" s="48" t="s">
        <v>40</v>
      </c>
      <c r="F50" s="41" t="s">
        <v>41</v>
      </c>
      <c r="G50" s="45" t="s">
        <v>35</v>
      </c>
      <c r="H50" s="49">
        <v>113008129</v>
      </c>
      <c r="I50" s="49" t="s">
        <v>170</v>
      </c>
      <c r="J50" s="45">
        <v>125200</v>
      </c>
      <c r="K50" s="40">
        <v>0.93</v>
      </c>
      <c r="L50" s="45">
        <v>116436</v>
      </c>
      <c r="M50" s="45">
        <v>116436</v>
      </c>
      <c r="N50" s="45" t="s">
        <v>32</v>
      </c>
      <c r="O50" s="47"/>
      <c r="P50" s="47"/>
      <c r="Q50" s="47"/>
      <c r="R50" s="47"/>
      <c r="S50" s="47"/>
      <c r="T50" s="31">
        <f ca="1">TODAY()-B50</f>
        <v>21</v>
      </c>
      <c r="U50" s="47"/>
      <c r="V50" s="3"/>
      <c r="W50" s="51">
        <f t="shared" si="17"/>
        <v>0</v>
      </c>
      <c r="XEZ50" s="56"/>
      <c r="XFA50" s="57"/>
      <c r="XFB50" s="58"/>
      <c r="XFC50" s="58"/>
      <c r="XFD50" s="59"/>
    </row>
    <row r="51" s="1" customFormat="1" ht="14.1" customHeight="1" spans="1:25 16376:16384">
      <c r="A51" s="46" t="s">
        <v>171</v>
      </c>
      <c r="B51" s="46">
        <v>46240</v>
      </c>
      <c r="C51" s="47">
        <v>111043456</v>
      </c>
      <c r="D51" s="47" t="s">
        <v>163</v>
      </c>
      <c r="E51" s="48" t="s">
        <v>40</v>
      </c>
      <c r="F51" s="41" t="s">
        <v>41</v>
      </c>
      <c r="G51" s="45" t="s">
        <v>35</v>
      </c>
      <c r="H51" s="49">
        <v>113014824</v>
      </c>
      <c r="I51" s="49" t="s">
        <v>172</v>
      </c>
      <c r="J51" s="45">
        <v>500000</v>
      </c>
      <c r="K51" s="40">
        <v>0.82</v>
      </c>
      <c r="L51" s="45">
        <v>410000</v>
      </c>
      <c r="M51" s="45">
        <v>410000</v>
      </c>
      <c r="N51" s="45" t="s">
        <v>32</v>
      </c>
      <c r="O51" s="47"/>
      <c r="P51" s="47"/>
      <c r="Q51" s="47"/>
      <c r="R51" s="47"/>
      <c r="S51" s="47"/>
      <c r="T51" s="31">
        <f ca="1" t="shared" ref="T51:T58" si="18">TODAY()-U51</f>
        <v>15</v>
      </c>
      <c r="U51" s="47">
        <v>46246</v>
      </c>
      <c r="V51" s="3"/>
      <c r="W51" s="51">
        <f t="shared" si="17"/>
        <v>0</v>
      </c>
      <c r="XEZ51" s="56"/>
      <c r="XFA51" s="57"/>
      <c r="XFB51" s="58"/>
      <c r="XFC51" s="58"/>
      <c r="XFD51" s="59"/>
    </row>
    <row r="52" s="1" customFormat="1" ht="14.1" customHeight="1" spans="1:25 16376:16384">
      <c r="A52" s="46" t="s">
        <v>173</v>
      </c>
      <c r="B52" s="46">
        <v>46240</v>
      </c>
      <c r="C52" s="47">
        <v>111043446</v>
      </c>
      <c r="D52" s="47">
        <v>46237</v>
      </c>
      <c r="E52" s="48" t="s">
        <v>40</v>
      </c>
      <c r="F52" s="41" t="s">
        <v>41</v>
      </c>
      <c r="G52" s="45" t="s">
        <v>35</v>
      </c>
      <c r="H52" s="49">
        <v>113006819</v>
      </c>
      <c r="I52" s="49" t="s">
        <v>174</v>
      </c>
      <c r="J52" s="45">
        <v>10000</v>
      </c>
      <c r="K52" s="40">
        <v>8.26</v>
      </c>
      <c r="L52" s="45">
        <v>82600</v>
      </c>
      <c r="M52" s="45">
        <v>82600</v>
      </c>
      <c r="N52" s="45" t="s">
        <v>79</v>
      </c>
      <c r="O52" s="47">
        <v>46253</v>
      </c>
      <c r="P52" s="47">
        <v>46253</v>
      </c>
      <c r="Q52" s="47"/>
      <c r="R52" s="47"/>
      <c r="S52" s="50">
        <v>46261</v>
      </c>
      <c r="T52" s="31">
        <f ca="1" t="shared" si="18"/>
        <v>15</v>
      </c>
      <c r="U52" s="47">
        <v>46246</v>
      </c>
      <c r="V52" s="3"/>
      <c r="W52" s="51">
        <f t="shared" si="17"/>
        <v>0</v>
      </c>
      <c r="XEZ52" s="56"/>
      <c r="XFA52" s="57"/>
      <c r="XFB52" s="58"/>
      <c r="XFC52" s="58"/>
      <c r="XFD52" s="59"/>
    </row>
    <row r="53" s="1" customFormat="1" ht="14.1" customHeight="1" spans="1:25 16376:16384">
      <c r="A53" s="46" t="s">
        <v>175</v>
      </c>
      <c r="B53" s="46">
        <v>46240</v>
      </c>
      <c r="C53" s="47">
        <v>111043446</v>
      </c>
      <c r="D53" s="47">
        <v>46237</v>
      </c>
      <c r="E53" s="48" t="s">
        <v>40</v>
      </c>
      <c r="F53" s="41" t="s">
        <v>41</v>
      </c>
      <c r="G53" s="45" t="s">
        <v>30</v>
      </c>
      <c r="H53" s="49">
        <v>113014691</v>
      </c>
      <c r="I53" s="49" t="s">
        <v>176</v>
      </c>
      <c r="J53" s="45">
        <v>199000</v>
      </c>
      <c r="K53" s="40">
        <v>1.36</v>
      </c>
      <c r="L53" s="45">
        <v>270640</v>
      </c>
      <c r="M53" s="45">
        <v>270640</v>
      </c>
      <c r="N53" s="45" t="s">
        <v>38</v>
      </c>
      <c r="O53" s="47">
        <v>46241</v>
      </c>
      <c r="P53" s="47">
        <v>46248</v>
      </c>
      <c r="Q53" s="47">
        <v>46253</v>
      </c>
      <c r="R53" s="47">
        <v>46254</v>
      </c>
      <c r="S53" s="47"/>
      <c r="T53" s="31">
        <f ca="1">TODAY()-B53</f>
        <v>21</v>
      </c>
      <c r="U53" s="47"/>
      <c r="V53" s="3"/>
      <c r="W53" s="51">
        <f t="shared" si="17"/>
        <v>7</v>
      </c>
      <c r="X53" s="1">
        <f>+Q53-P53</f>
        <v>5</v>
      </c>
      <c r="Y53" s="1">
        <f>+R53-Q53</f>
        <v>1</v>
      </c>
      <c r="XEZ53" s="56"/>
      <c r="XFA53" s="57"/>
      <c r="XFB53" s="58"/>
      <c r="XFC53" s="58"/>
      <c r="XFD53" s="59"/>
    </row>
    <row r="54" s="1" customFormat="1" ht="14.1" customHeight="1" spans="1:25 16376:16384">
      <c r="A54" s="46" t="s">
        <v>177</v>
      </c>
      <c r="B54" s="46">
        <v>46240</v>
      </c>
      <c r="C54" s="47">
        <v>111043446</v>
      </c>
      <c r="D54" s="47">
        <v>46237</v>
      </c>
      <c r="E54" s="48" t="s">
        <v>40</v>
      </c>
      <c r="F54" s="41" t="s">
        <v>41</v>
      </c>
      <c r="G54" s="45" t="s">
        <v>35</v>
      </c>
      <c r="H54" s="49">
        <v>113006818</v>
      </c>
      <c r="I54" s="49" t="s">
        <v>178</v>
      </c>
      <c r="J54" s="45">
        <v>247000</v>
      </c>
      <c r="K54" s="40">
        <v>1.22</v>
      </c>
      <c r="L54" s="45">
        <v>301340</v>
      </c>
      <c r="M54" s="45">
        <v>301340</v>
      </c>
      <c r="N54" s="45" t="s">
        <v>18</v>
      </c>
      <c r="O54" s="47">
        <v>46253</v>
      </c>
      <c r="P54" s="47"/>
      <c r="Q54" s="47"/>
      <c r="R54" s="47"/>
      <c r="S54" s="47"/>
      <c r="T54" s="31">
        <f ca="1" t="shared" si="18"/>
        <v>15</v>
      </c>
      <c r="U54" s="47">
        <v>46246</v>
      </c>
      <c r="V54" s="3"/>
      <c r="W54" s="51"/>
      <c r="XEZ54" s="56"/>
      <c r="XFA54" s="57"/>
      <c r="XFB54" s="58"/>
      <c r="XFC54" s="58"/>
      <c r="XFD54" s="59"/>
    </row>
    <row r="55" s="1" customFormat="1" ht="14.1" customHeight="1" spans="1:25 16376:16384">
      <c r="A55" s="46" t="s">
        <v>179</v>
      </c>
      <c r="B55" s="46">
        <v>46240</v>
      </c>
      <c r="C55" s="47">
        <v>4900554394</v>
      </c>
      <c r="D55" s="47">
        <v>46237</v>
      </c>
      <c r="E55" s="48" t="s">
        <v>49</v>
      </c>
      <c r="F55" s="60" t="s">
        <v>180</v>
      </c>
      <c r="G55" s="45" t="s">
        <v>35</v>
      </c>
      <c r="H55" s="49">
        <v>680001330</v>
      </c>
      <c r="I55" s="49" t="s">
        <v>181</v>
      </c>
      <c r="J55" s="45">
        <v>200</v>
      </c>
      <c r="K55" s="40">
        <v>37.5</v>
      </c>
      <c r="L55" s="45">
        <v>7500</v>
      </c>
      <c r="M55" s="45">
        <v>7500</v>
      </c>
      <c r="N55" s="45" t="s">
        <v>124</v>
      </c>
      <c r="O55" s="47">
        <v>46255</v>
      </c>
      <c r="P55" s="47">
        <v>46258</v>
      </c>
      <c r="Q55" s="47"/>
      <c r="R55" s="47"/>
      <c r="S55" s="47"/>
      <c r="T55" s="31">
        <f ca="1" t="shared" si="18"/>
        <v>13</v>
      </c>
      <c r="U55" s="47">
        <v>46248</v>
      </c>
      <c r="V55" s="3"/>
      <c r="W55" s="51">
        <f t="shared" ref="W55:W62" si="19">+P55-O55</f>
        <v>3</v>
      </c>
      <c r="XEZ55" s="56"/>
      <c r="XFA55" s="57"/>
      <c r="XFB55" s="58"/>
      <c r="XFC55" s="58"/>
      <c r="XFD55" s="59"/>
    </row>
    <row r="56" s="1" customFormat="1" ht="14.1" customHeight="1" spans="1:25 16376:16384">
      <c r="A56" s="46" t="s">
        <v>182</v>
      </c>
      <c r="B56" s="46">
        <v>46240</v>
      </c>
      <c r="C56" s="47">
        <v>4900554394</v>
      </c>
      <c r="D56" s="47">
        <v>46237</v>
      </c>
      <c r="E56" s="48" t="s">
        <v>49</v>
      </c>
      <c r="F56" s="60" t="s">
        <v>180</v>
      </c>
      <c r="G56" s="45" t="s">
        <v>35</v>
      </c>
      <c r="H56" s="49">
        <v>680001331</v>
      </c>
      <c r="I56" s="49" t="s">
        <v>183</v>
      </c>
      <c r="J56" s="45">
        <v>200</v>
      </c>
      <c r="K56" s="40">
        <v>35</v>
      </c>
      <c r="L56" s="45">
        <v>7000</v>
      </c>
      <c r="M56" s="45">
        <v>7000</v>
      </c>
      <c r="N56" s="45" t="s">
        <v>124</v>
      </c>
      <c r="O56" s="47">
        <v>46255</v>
      </c>
      <c r="P56" s="47">
        <v>46258</v>
      </c>
      <c r="Q56" s="47"/>
      <c r="R56" s="47"/>
      <c r="S56" s="47"/>
      <c r="T56" s="31">
        <f ca="1" t="shared" si="18"/>
        <v>13</v>
      </c>
      <c r="U56" s="47">
        <v>46248</v>
      </c>
      <c r="V56" s="3"/>
      <c r="W56" s="51">
        <f t="shared" si="19"/>
        <v>3</v>
      </c>
      <c r="XEZ56" s="56"/>
      <c r="XFA56" s="57"/>
      <c r="XFB56" s="58"/>
      <c r="XFC56" s="58"/>
      <c r="XFD56" s="59"/>
    </row>
    <row r="57" s="1" customFormat="1" ht="14.1" customHeight="1" spans="1:25 16376:16384">
      <c r="A57" s="46" t="s">
        <v>184</v>
      </c>
      <c r="B57" s="46">
        <v>46240</v>
      </c>
      <c r="C57" s="47">
        <v>4900554394</v>
      </c>
      <c r="D57" s="47">
        <v>46237</v>
      </c>
      <c r="E57" s="48" t="s">
        <v>49</v>
      </c>
      <c r="F57" s="60" t="s">
        <v>180</v>
      </c>
      <c r="G57" s="45" t="s">
        <v>35</v>
      </c>
      <c r="H57" s="49">
        <v>680001332</v>
      </c>
      <c r="I57" s="49" t="s">
        <v>185</v>
      </c>
      <c r="J57" s="45">
        <v>20</v>
      </c>
      <c r="K57" s="40">
        <v>975</v>
      </c>
      <c r="L57" s="45">
        <v>19500</v>
      </c>
      <c r="M57" s="45">
        <v>19500</v>
      </c>
      <c r="N57" s="45" t="s">
        <v>124</v>
      </c>
      <c r="O57" s="47">
        <v>46255</v>
      </c>
      <c r="P57" s="47">
        <v>46258</v>
      </c>
      <c r="Q57" s="47"/>
      <c r="R57" s="47"/>
      <c r="S57" s="47"/>
      <c r="T57" s="31">
        <f ca="1" t="shared" si="18"/>
        <v>13</v>
      </c>
      <c r="U57" s="47">
        <v>46248</v>
      </c>
      <c r="V57" s="3"/>
      <c r="W57" s="51">
        <f t="shared" si="19"/>
        <v>3</v>
      </c>
      <c r="XEZ57" s="56"/>
      <c r="XFA57" s="57"/>
      <c r="XFB57" s="58"/>
      <c r="XFC57" s="58"/>
      <c r="XFD57" s="59"/>
    </row>
    <row r="58" s="1" customFormat="1" ht="14.1" customHeight="1" spans="1:25 16376:16384">
      <c r="A58" s="46" t="s">
        <v>186</v>
      </c>
      <c r="B58" s="46">
        <v>46240</v>
      </c>
      <c r="C58" s="47">
        <v>4900554394</v>
      </c>
      <c r="D58" s="47">
        <v>46237</v>
      </c>
      <c r="E58" s="48" t="s">
        <v>49</v>
      </c>
      <c r="F58" s="60" t="s">
        <v>180</v>
      </c>
      <c r="G58" s="45" t="s">
        <v>35</v>
      </c>
      <c r="H58" s="49">
        <v>680001333</v>
      </c>
      <c r="I58" s="49" t="s">
        <v>187</v>
      </c>
      <c r="J58" s="45">
        <v>20</v>
      </c>
      <c r="K58" s="40">
        <v>1000</v>
      </c>
      <c r="L58" s="45">
        <v>20000</v>
      </c>
      <c r="M58" s="45">
        <v>20000</v>
      </c>
      <c r="N58" s="45" t="s">
        <v>124</v>
      </c>
      <c r="O58" s="47">
        <v>46255</v>
      </c>
      <c r="P58" s="47">
        <v>46258</v>
      </c>
      <c r="Q58" s="47"/>
      <c r="R58" s="47"/>
      <c r="S58" s="47"/>
      <c r="T58" s="31">
        <f ca="1" t="shared" si="18"/>
        <v>13</v>
      </c>
      <c r="U58" s="47">
        <v>46248</v>
      </c>
      <c r="V58" s="3"/>
      <c r="W58" s="51">
        <f t="shared" si="19"/>
        <v>3</v>
      </c>
      <c r="XEZ58" s="56"/>
      <c r="XFA58" s="57"/>
      <c r="XFB58" s="58"/>
      <c r="XFC58" s="58"/>
      <c r="XFD58" s="59"/>
    </row>
    <row r="59" s="1" customFormat="1" ht="14.1" customHeight="1" spans="1:25 16376:16384">
      <c r="A59" s="46" t="s">
        <v>188</v>
      </c>
      <c r="B59" s="46">
        <v>46241</v>
      </c>
      <c r="C59" s="47">
        <v>9500223699</v>
      </c>
      <c r="D59" s="47">
        <v>46235</v>
      </c>
      <c r="E59" s="48" t="s">
        <v>189</v>
      </c>
      <c r="F59" s="41" t="s">
        <v>190</v>
      </c>
      <c r="G59" s="45" t="s">
        <v>35</v>
      </c>
      <c r="H59" s="49">
        <v>2113202</v>
      </c>
      <c r="I59" s="49" t="s">
        <v>191</v>
      </c>
      <c r="J59" s="45">
        <v>10000</v>
      </c>
      <c r="K59" s="45">
        <v>4</v>
      </c>
      <c r="L59" s="45">
        <v>10000</v>
      </c>
      <c r="M59" s="45">
        <v>40000</v>
      </c>
      <c r="N59" s="47" t="s">
        <v>38</v>
      </c>
      <c r="O59" s="47">
        <v>46245</v>
      </c>
      <c r="P59" s="47">
        <v>46247</v>
      </c>
      <c r="Q59" s="47">
        <v>46255</v>
      </c>
      <c r="R59" s="47">
        <v>46260</v>
      </c>
      <c r="S59" s="50">
        <v>46261</v>
      </c>
      <c r="T59" s="31">
        <f ca="1" t="shared" ref="T59:T68" si="20">TODAY()-B59</f>
        <v>20</v>
      </c>
      <c r="W59" s="51">
        <f t="shared" si="19"/>
        <v>2</v>
      </c>
      <c r="X59" s="1">
        <f t="shared" ref="X59:X62" si="21">+Q59-P59</f>
        <v>8</v>
      </c>
      <c r="XEV59" s="56"/>
      <c r="XEW59" s="57"/>
      <c r="XEX59" s="58"/>
      <c r="XEY59" s="58"/>
      <c r="XEZ59" s="59"/>
      <c r="XFA59" s="45"/>
      <c r="XFB59" s="46"/>
      <c r="XFC59" s="47"/>
      <c r="XFD59" s="47"/>
    </row>
    <row r="60" s="1" customFormat="1" ht="14.1" customHeight="1" spans="1:25 16376:16384">
      <c r="A60" s="46" t="s">
        <v>192</v>
      </c>
      <c r="B60" s="46">
        <v>46244</v>
      </c>
      <c r="C60" s="47">
        <v>4500067852</v>
      </c>
      <c r="D60" s="47">
        <v>46230</v>
      </c>
      <c r="E60" s="48" t="s">
        <v>193</v>
      </c>
      <c r="F60" s="41" t="s">
        <v>194</v>
      </c>
      <c r="G60" s="45" t="s">
        <v>30</v>
      </c>
      <c r="H60" s="49">
        <v>8501080</v>
      </c>
      <c r="I60" s="49" t="s">
        <v>195</v>
      </c>
      <c r="J60" s="45">
        <v>16000</v>
      </c>
      <c r="K60" s="45">
        <v>4.4</v>
      </c>
      <c r="L60" s="45">
        <v>16000</v>
      </c>
      <c r="M60" s="45">
        <v>70400</v>
      </c>
      <c r="N60" s="45" t="s">
        <v>124</v>
      </c>
      <c r="O60" s="47">
        <v>46244</v>
      </c>
      <c r="P60" s="47">
        <v>46247</v>
      </c>
      <c r="Q60" s="47">
        <v>46255</v>
      </c>
      <c r="R60" s="47"/>
      <c r="S60" s="47"/>
      <c r="T60" s="31">
        <f ca="1" t="shared" si="20"/>
        <v>17</v>
      </c>
      <c r="W60" s="51">
        <f t="shared" si="19"/>
        <v>3</v>
      </c>
      <c r="X60" s="1">
        <f t="shared" si="21"/>
        <v>8</v>
      </c>
      <c r="XEV60" s="56"/>
      <c r="XEW60" s="57"/>
      <c r="XEX60" s="58"/>
      <c r="XEY60" s="58"/>
      <c r="XEZ60" s="59"/>
      <c r="XFA60" s="45"/>
      <c r="XFB60" s="46"/>
      <c r="XFC60" s="47"/>
      <c r="XFD60" s="47"/>
    </row>
    <row r="61" s="1" customFormat="1" ht="14.1" customHeight="1" spans="1:25 16376:16384">
      <c r="A61" s="45" t="s">
        <v>196</v>
      </c>
      <c r="B61" s="46">
        <v>46246</v>
      </c>
      <c r="C61" s="47">
        <v>4900555722</v>
      </c>
      <c r="D61" s="47">
        <v>46245</v>
      </c>
      <c r="E61" s="48" t="s">
        <v>49</v>
      </c>
      <c r="F61" s="41" t="s">
        <v>180</v>
      </c>
      <c r="G61" s="45" t="s">
        <v>30</v>
      </c>
      <c r="H61" s="49">
        <v>680001156</v>
      </c>
      <c r="I61" s="49" t="s">
        <v>197</v>
      </c>
      <c r="J61" s="45">
        <v>75000</v>
      </c>
      <c r="K61" s="45">
        <v>1.28</v>
      </c>
      <c r="L61" s="45">
        <v>75000</v>
      </c>
      <c r="M61" s="45">
        <v>96000</v>
      </c>
      <c r="N61" s="47" t="s">
        <v>124</v>
      </c>
      <c r="O61" s="47">
        <v>46247</v>
      </c>
      <c r="P61" s="47">
        <v>46255</v>
      </c>
      <c r="Q61" s="47">
        <v>46255</v>
      </c>
      <c r="R61" s="47"/>
      <c r="S61" s="50">
        <v>46263</v>
      </c>
      <c r="T61" s="31">
        <f ca="1" t="shared" si="20"/>
        <v>15</v>
      </c>
      <c r="W61" s="51">
        <f t="shared" si="19"/>
        <v>8</v>
      </c>
      <c r="X61" s="1">
        <f t="shared" si="21"/>
        <v>0</v>
      </c>
      <c r="XEV61" s="56"/>
      <c r="XEW61" s="57"/>
      <c r="XEX61" s="58"/>
      <c r="XEY61" s="58"/>
      <c r="XEZ61" s="59"/>
      <c r="XFA61" s="45"/>
      <c r="XFB61" s="46"/>
      <c r="XFC61" s="47"/>
      <c r="XFD61" s="47"/>
    </row>
    <row r="62" s="1" customFormat="1" ht="14.1" customHeight="1" spans="1:25 16376:16384">
      <c r="A62" s="45" t="s">
        <v>198</v>
      </c>
      <c r="B62" s="46">
        <v>46246</v>
      </c>
      <c r="C62" s="47">
        <v>111043627</v>
      </c>
      <c r="D62" s="47">
        <v>46244</v>
      </c>
      <c r="E62" s="48" t="s">
        <v>40</v>
      </c>
      <c r="F62" s="41" t="s">
        <v>41</v>
      </c>
      <c r="G62" s="45" t="s">
        <v>35</v>
      </c>
      <c r="H62" s="49">
        <v>113015098</v>
      </c>
      <c r="I62" s="49" t="s">
        <v>199</v>
      </c>
      <c r="J62" s="45">
        <v>100200</v>
      </c>
      <c r="K62" s="45">
        <v>0.99</v>
      </c>
      <c r="L62" s="45">
        <v>100200</v>
      </c>
      <c r="M62" s="45">
        <v>99198</v>
      </c>
      <c r="N62" s="47" t="s">
        <v>38</v>
      </c>
      <c r="O62" s="47">
        <v>46253</v>
      </c>
      <c r="P62" s="47">
        <v>46253</v>
      </c>
      <c r="Q62" s="47">
        <v>46256</v>
      </c>
      <c r="R62" s="47">
        <v>46258</v>
      </c>
      <c r="S62" s="50">
        <v>46261</v>
      </c>
      <c r="T62" s="31">
        <f ca="1" t="shared" si="20"/>
        <v>15</v>
      </c>
      <c r="W62" s="51">
        <f t="shared" si="19"/>
        <v>0</v>
      </c>
      <c r="X62" s="1">
        <f t="shared" si="21"/>
        <v>3</v>
      </c>
      <c r="Y62" s="1">
        <f>+R62-Q62</f>
        <v>2</v>
      </c>
      <c r="XEV62" s="56"/>
      <c r="XEW62" s="57"/>
      <c r="XEX62" s="58"/>
      <c r="XEY62" s="58"/>
      <c r="XEZ62" s="59"/>
      <c r="XFA62" s="45"/>
      <c r="XFB62" s="46"/>
      <c r="XFC62" s="47"/>
      <c r="XFD62" s="47"/>
    </row>
    <row r="63" s="1" customFormat="1" ht="14.1" customHeight="1" spans="1:25 16376:16384">
      <c r="A63" s="45" t="s">
        <v>200</v>
      </c>
      <c r="B63" s="46">
        <v>46247</v>
      </c>
      <c r="C63" s="47">
        <v>4500013831</v>
      </c>
      <c r="D63" s="47">
        <v>46245</v>
      </c>
      <c r="E63" s="48" t="s">
        <v>201</v>
      </c>
      <c r="F63" s="41" t="s">
        <v>114</v>
      </c>
      <c r="G63" s="45" t="s">
        <v>30</v>
      </c>
      <c r="H63" s="49">
        <v>949129346</v>
      </c>
      <c r="I63" s="49" t="s">
        <v>202</v>
      </c>
      <c r="J63" s="45">
        <v>20000</v>
      </c>
      <c r="K63" s="45">
        <v>6.25</v>
      </c>
      <c r="L63" s="45">
        <v>20000</v>
      </c>
      <c r="M63" s="45">
        <v>125000</v>
      </c>
      <c r="N63" s="47" t="s">
        <v>18</v>
      </c>
      <c r="O63" s="47">
        <v>46248</v>
      </c>
      <c r="P63" s="47">
        <v>46261</v>
      </c>
      <c r="Q63" s="47"/>
      <c r="R63" s="47"/>
      <c r="S63" s="50">
        <v>46263</v>
      </c>
      <c r="T63" s="31">
        <f ca="1" t="shared" si="20"/>
        <v>14</v>
      </c>
      <c r="W63" s="51"/>
      <c r="XEV63" s="56"/>
      <c r="XEW63" s="57"/>
      <c r="XEX63" s="58"/>
      <c r="XEY63" s="58"/>
      <c r="XEZ63" s="59"/>
      <c r="XFA63" s="45"/>
      <c r="XFB63" s="46"/>
      <c r="XFC63" s="47"/>
      <c r="XFD63" s="47"/>
    </row>
    <row r="64" s="1" customFormat="1" ht="14.1" customHeight="1" spans="1:25 16376:16384">
      <c r="A64" s="45" t="s">
        <v>203</v>
      </c>
      <c r="B64" s="46">
        <v>46247</v>
      </c>
      <c r="C64" s="47">
        <v>4500013831</v>
      </c>
      <c r="D64" s="47">
        <v>46245</v>
      </c>
      <c r="E64" s="48" t="s">
        <v>201</v>
      </c>
      <c r="F64" s="41" t="s">
        <v>114</v>
      </c>
      <c r="G64" s="45" t="s">
        <v>30</v>
      </c>
      <c r="H64" s="49">
        <v>949129345</v>
      </c>
      <c r="I64" s="49" t="s">
        <v>204</v>
      </c>
      <c r="J64" s="45">
        <v>30000</v>
      </c>
      <c r="K64" s="45">
        <v>4.08</v>
      </c>
      <c r="L64" s="45">
        <v>30000</v>
      </c>
      <c r="M64" s="45">
        <v>122400</v>
      </c>
      <c r="N64" s="47" t="s">
        <v>71</v>
      </c>
      <c r="O64" s="47">
        <v>46248</v>
      </c>
      <c r="P64" s="47"/>
      <c r="Q64" s="47"/>
      <c r="R64" s="47"/>
      <c r="S64" s="50">
        <v>46263</v>
      </c>
      <c r="T64" s="31">
        <f ca="1" t="shared" si="20"/>
        <v>14</v>
      </c>
      <c r="W64" s="51"/>
      <c r="XEV64" s="56"/>
      <c r="XEW64" s="57"/>
      <c r="XEX64" s="58"/>
      <c r="XEY64" s="58"/>
      <c r="XEZ64" s="59"/>
      <c r="XFA64" s="45"/>
      <c r="XFB64" s="46"/>
      <c r="XFC64" s="47"/>
      <c r="XFD64" s="47"/>
    </row>
    <row r="65" s="1" customFormat="1" ht="14.1" customHeight="1" spans="1:25 16376:16384">
      <c r="A65" s="45" t="s">
        <v>205</v>
      </c>
      <c r="B65" s="46">
        <v>46247</v>
      </c>
      <c r="C65" s="47">
        <v>4500013831</v>
      </c>
      <c r="D65" s="47">
        <v>46245</v>
      </c>
      <c r="E65" s="48" t="s">
        <v>201</v>
      </c>
      <c r="F65" s="41" t="s">
        <v>114</v>
      </c>
      <c r="G65" s="45" t="s">
        <v>30</v>
      </c>
      <c r="H65" s="49">
        <v>949129349</v>
      </c>
      <c r="I65" s="49" t="s">
        <v>206</v>
      </c>
      <c r="J65" s="45">
        <v>12000</v>
      </c>
      <c r="K65" s="45">
        <v>5.55</v>
      </c>
      <c r="L65" s="45">
        <v>12000</v>
      </c>
      <c r="M65" s="45">
        <v>66600</v>
      </c>
      <c r="N65" s="47" t="s">
        <v>38</v>
      </c>
      <c r="O65" s="47">
        <v>46248</v>
      </c>
      <c r="P65" s="47">
        <v>46252</v>
      </c>
      <c r="Q65" s="47">
        <v>46255</v>
      </c>
      <c r="R65" s="47">
        <v>46256</v>
      </c>
      <c r="S65" s="50">
        <v>46262</v>
      </c>
      <c r="T65" s="31">
        <f ca="1" t="shared" si="20"/>
        <v>14</v>
      </c>
      <c r="W65" s="51">
        <f t="shared" ref="W65:Y65" si="22">+P65-O65</f>
        <v>4</v>
      </c>
      <c r="X65" s="1">
        <f t="shared" si="22"/>
        <v>3</v>
      </c>
      <c r="Y65" s="1">
        <f t="shared" si="22"/>
        <v>1</v>
      </c>
      <c r="XEV65" s="56"/>
      <c r="XEW65" s="57"/>
      <c r="XEX65" s="58"/>
      <c r="XEY65" s="58"/>
      <c r="XEZ65" s="59"/>
      <c r="XFA65" s="45"/>
      <c r="XFB65" s="46"/>
      <c r="XFC65" s="47"/>
      <c r="XFD65" s="47"/>
    </row>
    <row r="66" s="1" customFormat="1" ht="14.1" customHeight="1" spans="1:25 16376:16384">
      <c r="A66" s="45" t="s">
        <v>207</v>
      </c>
      <c r="B66" s="46">
        <v>46247</v>
      </c>
      <c r="C66" s="47">
        <v>4500013831</v>
      </c>
      <c r="D66" s="47">
        <v>46245</v>
      </c>
      <c r="E66" s="48" t="s">
        <v>201</v>
      </c>
      <c r="F66" s="41" t="s">
        <v>114</v>
      </c>
      <c r="G66" s="45" t="s">
        <v>30</v>
      </c>
      <c r="H66" s="49">
        <v>949129350</v>
      </c>
      <c r="I66" s="49" t="s">
        <v>208</v>
      </c>
      <c r="J66" s="45">
        <v>8000</v>
      </c>
      <c r="K66" s="45">
        <v>5.55</v>
      </c>
      <c r="L66" s="45">
        <v>8000</v>
      </c>
      <c r="M66" s="45">
        <v>44400</v>
      </c>
      <c r="N66" s="47" t="s">
        <v>38</v>
      </c>
      <c r="O66" s="47">
        <v>46251</v>
      </c>
      <c r="P66" s="47">
        <v>46252</v>
      </c>
      <c r="Q66" s="47">
        <v>46255</v>
      </c>
      <c r="R66" s="47">
        <v>46258</v>
      </c>
      <c r="S66" s="50">
        <v>46262</v>
      </c>
      <c r="T66" s="31">
        <f ca="1" t="shared" si="20"/>
        <v>14</v>
      </c>
      <c r="W66" s="51">
        <f t="shared" ref="W66:Y66" si="23">+P66-O66</f>
        <v>1</v>
      </c>
      <c r="X66" s="1">
        <f t="shared" si="23"/>
        <v>3</v>
      </c>
      <c r="Y66" s="1">
        <f t="shared" si="23"/>
        <v>3</v>
      </c>
      <c r="XEV66" s="56"/>
      <c r="XEW66" s="57"/>
      <c r="XEX66" s="58"/>
      <c r="XEY66" s="58"/>
      <c r="XEZ66" s="59"/>
      <c r="XFA66" s="45"/>
      <c r="XFB66" s="46"/>
      <c r="XFC66" s="47"/>
      <c r="XFD66" s="47"/>
    </row>
    <row r="67" s="1" customFormat="1" ht="14.1" customHeight="1" spans="1:25 16376:16384">
      <c r="A67" s="45" t="s">
        <v>209</v>
      </c>
      <c r="B67" s="46">
        <v>46247</v>
      </c>
      <c r="C67" s="47">
        <v>9500226891</v>
      </c>
      <c r="D67" s="47">
        <v>46246</v>
      </c>
      <c r="E67" s="48" t="s">
        <v>189</v>
      </c>
      <c r="F67" s="41" t="s">
        <v>190</v>
      </c>
      <c r="G67" s="45" t="s">
        <v>30</v>
      </c>
      <c r="H67" s="49">
        <v>2080857</v>
      </c>
      <c r="I67" s="49" t="s">
        <v>210</v>
      </c>
      <c r="J67" s="45">
        <v>10000</v>
      </c>
      <c r="K67" s="45">
        <v>3.3</v>
      </c>
      <c r="L67" s="45">
        <v>10000</v>
      </c>
      <c r="M67" s="45">
        <v>33000</v>
      </c>
      <c r="N67" s="47" t="s">
        <v>38</v>
      </c>
      <c r="O67" s="47">
        <v>46251</v>
      </c>
      <c r="P67" s="47">
        <v>46252</v>
      </c>
      <c r="Q67" s="47">
        <v>46254</v>
      </c>
      <c r="R67" s="47">
        <v>46258</v>
      </c>
      <c r="S67" s="50">
        <v>46262</v>
      </c>
      <c r="T67" s="31">
        <f ca="1" t="shared" si="20"/>
        <v>14</v>
      </c>
      <c r="W67" s="51">
        <f t="shared" ref="W67:Y67" si="24">+P67-O67</f>
        <v>1</v>
      </c>
      <c r="X67" s="1">
        <f t="shared" si="24"/>
        <v>2</v>
      </c>
      <c r="Y67" s="1">
        <f t="shared" si="24"/>
        <v>4</v>
      </c>
      <c r="XEV67" s="56"/>
      <c r="XEW67" s="57"/>
      <c r="XEX67" s="58"/>
      <c r="XEY67" s="58"/>
      <c r="XEZ67" s="59"/>
      <c r="XFA67" s="45"/>
      <c r="XFB67" s="46"/>
      <c r="XFC67" s="47"/>
      <c r="XFD67" s="47"/>
    </row>
    <row r="68" s="1" customFormat="1" ht="14.1" customHeight="1" spans="1:25 16376:16384">
      <c r="A68" s="45" t="s">
        <v>211</v>
      </c>
      <c r="B68" s="46">
        <v>46247</v>
      </c>
      <c r="C68" s="47">
        <v>9500227452</v>
      </c>
      <c r="D68" s="47">
        <v>46247</v>
      </c>
      <c r="E68" s="48" t="s">
        <v>44</v>
      </c>
      <c r="F68" s="41" t="s">
        <v>45</v>
      </c>
      <c r="G68" s="45" t="s">
        <v>30</v>
      </c>
      <c r="H68" s="49">
        <v>2104828</v>
      </c>
      <c r="I68" s="49" t="s">
        <v>212</v>
      </c>
      <c r="J68" s="45">
        <v>145000</v>
      </c>
      <c r="K68" s="45">
        <v>1.8</v>
      </c>
      <c r="L68" s="45">
        <v>145000</v>
      </c>
      <c r="M68" s="45">
        <v>261000</v>
      </c>
      <c r="N68" s="47" t="s">
        <v>124</v>
      </c>
      <c r="O68" s="47">
        <v>46251</v>
      </c>
      <c r="P68" s="47">
        <v>46255</v>
      </c>
      <c r="Q68" s="47">
        <v>46259</v>
      </c>
      <c r="R68" s="47"/>
      <c r="S68" s="50">
        <v>46263</v>
      </c>
      <c r="T68" s="31">
        <f ca="1" t="shared" si="20"/>
        <v>14</v>
      </c>
      <c r="W68" s="51">
        <f t="shared" ref="W68:W74" si="25">+P68-O68</f>
        <v>4</v>
      </c>
      <c r="X68" s="1">
        <f t="shared" ref="X68:X74" si="26">+Q68-P68</f>
        <v>4</v>
      </c>
      <c r="XEV68" s="56"/>
      <c r="XEW68" s="57"/>
      <c r="XEX68" s="58"/>
      <c r="XEY68" s="58"/>
      <c r="XEZ68" s="59"/>
      <c r="XFA68" s="45"/>
      <c r="XFB68" s="46"/>
      <c r="XFC68" s="47"/>
      <c r="XFD68" s="47"/>
    </row>
    <row r="69" s="1" customFormat="1" ht="14.1" customHeight="1" spans="1:25 16376:16384">
      <c r="A69" s="45" t="s">
        <v>213</v>
      </c>
      <c r="B69" s="46">
        <v>46248</v>
      </c>
      <c r="C69" s="47" t="s">
        <v>27</v>
      </c>
      <c r="D69" s="47">
        <v>46248</v>
      </c>
      <c r="E69" s="48" t="s">
        <v>28</v>
      </c>
      <c r="F69" s="45" t="s">
        <v>106</v>
      </c>
      <c r="G69" s="45" t="s">
        <v>35</v>
      </c>
      <c r="H69" s="49">
        <v>1200012956</v>
      </c>
      <c r="I69" s="49" t="s">
        <v>214</v>
      </c>
      <c r="J69" s="45">
        <v>60000</v>
      </c>
      <c r="K69" s="45">
        <v>1.32</v>
      </c>
      <c r="L69" s="45">
        <v>60000</v>
      </c>
      <c r="M69" s="45">
        <v>79200</v>
      </c>
      <c r="N69" s="47" t="s">
        <v>79</v>
      </c>
      <c r="O69" s="47">
        <v>46253</v>
      </c>
      <c r="P69" s="47">
        <v>46253</v>
      </c>
      <c r="Q69" s="47"/>
      <c r="R69" s="47"/>
      <c r="S69" s="47"/>
      <c r="T69" s="31">
        <f ca="1">TODAY()-U69</f>
        <v>2</v>
      </c>
      <c r="U69" s="62">
        <v>46259</v>
      </c>
      <c r="XEV69" s="56"/>
      <c r="XEW69" s="57"/>
      <c r="XEX69" s="58"/>
      <c r="XEY69" s="58"/>
      <c r="XEZ69" s="59"/>
      <c r="XFA69" s="45"/>
      <c r="XFB69" s="46"/>
      <c r="XFC69" s="47"/>
      <c r="XFD69" s="47"/>
    </row>
    <row r="70" s="1" customFormat="1" ht="14.1" customHeight="1" spans="1:25 16376:16384">
      <c r="A70" s="45" t="s">
        <v>215</v>
      </c>
      <c r="B70" s="46">
        <v>46248</v>
      </c>
      <c r="C70" s="47">
        <v>5800285868</v>
      </c>
      <c r="D70" s="47">
        <v>46246</v>
      </c>
      <c r="E70" s="48" t="s">
        <v>216</v>
      </c>
      <c r="F70" s="41" t="s">
        <v>217</v>
      </c>
      <c r="G70" s="45" t="s">
        <v>35</v>
      </c>
      <c r="H70" s="49">
        <v>5062746</v>
      </c>
      <c r="I70" s="49" t="s">
        <v>218</v>
      </c>
      <c r="J70" s="45">
        <v>12000</v>
      </c>
      <c r="K70" s="45">
        <v>1.78</v>
      </c>
      <c r="L70" s="45">
        <v>12000</v>
      </c>
      <c r="M70" s="45">
        <v>21360</v>
      </c>
      <c r="N70" s="47" t="s">
        <v>18</v>
      </c>
      <c r="O70" s="47">
        <v>46252</v>
      </c>
      <c r="P70" s="47">
        <v>46253</v>
      </c>
      <c r="Q70" s="47"/>
      <c r="R70" s="47"/>
      <c r="S70" s="47"/>
      <c r="T70" s="31">
        <f ca="1" t="shared" ref="T70:T75" si="27">TODAY()-B70</f>
        <v>13</v>
      </c>
      <c r="W70" s="51">
        <f t="shared" si="25"/>
        <v>1</v>
      </c>
      <c r="XEV70" s="56"/>
      <c r="XEW70" s="57"/>
      <c r="XEX70" s="58"/>
      <c r="XEY70" s="58"/>
      <c r="XEZ70" s="59"/>
      <c r="XFA70" s="45"/>
      <c r="XFB70" s="46"/>
      <c r="XFC70" s="47"/>
      <c r="XFD70" s="47"/>
    </row>
    <row r="71" s="1" customFormat="1" ht="14.1" customHeight="1" spans="1:25 16376:16384">
      <c r="A71" s="45" t="s">
        <v>219</v>
      </c>
      <c r="B71" s="46">
        <v>46248</v>
      </c>
      <c r="C71" s="47">
        <v>5800285868</v>
      </c>
      <c r="D71" s="47">
        <v>46246</v>
      </c>
      <c r="E71" s="48" t="s">
        <v>216</v>
      </c>
      <c r="F71" s="41" t="s">
        <v>217</v>
      </c>
      <c r="G71" s="45" t="s">
        <v>35</v>
      </c>
      <c r="H71" s="49">
        <v>5063470</v>
      </c>
      <c r="I71" s="49" t="s">
        <v>220</v>
      </c>
      <c r="J71" s="45">
        <v>35000</v>
      </c>
      <c r="K71" s="45">
        <v>1.69</v>
      </c>
      <c r="L71" s="45">
        <v>35000</v>
      </c>
      <c r="M71" s="45">
        <v>59150</v>
      </c>
      <c r="N71" s="47" t="s">
        <v>18</v>
      </c>
      <c r="O71" s="47">
        <v>46252</v>
      </c>
      <c r="P71" s="47">
        <v>46253</v>
      </c>
      <c r="Q71" s="47"/>
      <c r="R71" s="47"/>
      <c r="S71" s="47"/>
      <c r="T71" s="31">
        <f ca="1" t="shared" si="27"/>
        <v>13</v>
      </c>
      <c r="W71" s="51">
        <f t="shared" si="25"/>
        <v>1</v>
      </c>
      <c r="XEV71" s="56"/>
      <c r="XEW71" s="57"/>
      <c r="XEX71" s="58"/>
      <c r="XEY71" s="58"/>
      <c r="XEZ71" s="59"/>
      <c r="XFA71" s="45"/>
      <c r="XFB71" s="46"/>
      <c r="XFC71" s="47"/>
      <c r="XFD71" s="47"/>
    </row>
    <row r="72" s="1" customFormat="1" ht="14.1" customHeight="1" spans="1:25 16376:16384">
      <c r="A72" s="45" t="s">
        <v>221</v>
      </c>
      <c r="B72" s="46">
        <v>46248</v>
      </c>
      <c r="C72" s="47" t="s">
        <v>222</v>
      </c>
      <c r="D72" s="47">
        <v>46248</v>
      </c>
      <c r="E72" s="48" t="s">
        <v>193</v>
      </c>
      <c r="F72" s="60" t="s">
        <v>223</v>
      </c>
      <c r="G72" s="45" t="s">
        <v>30</v>
      </c>
      <c r="H72" s="49" t="s">
        <v>224</v>
      </c>
      <c r="I72" s="49" t="s">
        <v>225</v>
      </c>
      <c r="J72" s="45">
        <v>55000</v>
      </c>
      <c r="K72" s="45">
        <v>2.1</v>
      </c>
      <c r="L72" s="45">
        <v>55000</v>
      </c>
      <c r="M72" s="45">
        <v>115500</v>
      </c>
      <c r="N72" s="47" t="s">
        <v>38</v>
      </c>
      <c r="O72" s="47">
        <v>46252</v>
      </c>
      <c r="P72" s="47">
        <v>46253</v>
      </c>
      <c r="Q72" s="47">
        <v>46255</v>
      </c>
      <c r="R72" s="47">
        <v>46259</v>
      </c>
      <c r="S72" s="50">
        <v>46260</v>
      </c>
      <c r="T72" s="31">
        <f ca="1" t="shared" si="27"/>
        <v>13</v>
      </c>
      <c r="W72" s="51">
        <f t="shared" si="25"/>
        <v>1</v>
      </c>
      <c r="X72" s="1">
        <f t="shared" si="26"/>
        <v>2</v>
      </c>
      <c r="Y72" s="1">
        <f>+R72-Q72</f>
        <v>4</v>
      </c>
      <c r="XEV72" s="56"/>
      <c r="XEW72" s="57"/>
      <c r="XEX72" s="58"/>
      <c r="XEY72" s="58"/>
      <c r="XEZ72" s="59"/>
      <c r="XFA72" s="45"/>
      <c r="XFB72" s="46"/>
      <c r="XFC72" s="47"/>
      <c r="XFD72" s="47"/>
    </row>
    <row r="73" s="1" customFormat="1" ht="14.1" customHeight="1" spans="1:25 16376:16384">
      <c r="A73" s="45" t="s">
        <v>226</v>
      </c>
      <c r="B73" s="46">
        <v>46248</v>
      </c>
      <c r="C73" s="47" t="s">
        <v>227</v>
      </c>
      <c r="D73" s="47">
        <v>46248</v>
      </c>
      <c r="E73" s="48" t="s">
        <v>193</v>
      </c>
      <c r="F73" s="60" t="s">
        <v>223</v>
      </c>
      <c r="G73" s="45" t="s">
        <v>30</v>
      </c>
      <c r="H73" s="49" t="s">
        <v>228</v>
      </c>
      <c r="I73" s="49" t="s">
        <v>229</v>
      </c>
      <c r="J73" s="45">
        <v>43000</v>
      </c>
      <c r="K73" s="45">
        <v>2.3</v>
      </c>
      <c r="L73" s="45">
        <v>43000</v>
      </c>
      <c r="M73" s="45">
        <v>98900</v>
      </c>
      <c r="N73" s="47" t="s">
        <v>124</v>
      </c>
      <c r="O73" s="47">
        <v>46252</v>
      </c>
      <c r="P73" s="47">
        <v>46253</v>
      </c>
      <c r="Q73" s="47">
        <v>46256</v>
      </c>
      <c r="R73" s="47"/>
      <c r="S73" s="50">
        <v>46260</v>
      </c>
      <c r="T73" s="31">
        <f ca="1" t="shared" si="27"/>
        <v>13</v>
      </c>
      <c r="W73" s="51">
        <f t="shared" si="25"/>
        <v>1</v>
      </c>
      <c r="X73" s="1">
        <f t="shared" si="26"/>
        <v>3</v>
      </c>
      <c r="XEV73" s="56"/>
      <c r="XEW73" s="57"/>
      <c r="XEX73" s="58"/>
      <c r="XEY73" s="58"/>
      <c r="XEZ73" s="59"/>
      <c r="XFA73" s="45"/>
      <c r="XFB73" s="46"/>
      <c r="XFC73" s="47"/>
      <c r="XFD73" s="47"/>
    </row>
    <row r="74" s="1" customFormat="1" ht="14.1" customHeight="1" spans="1:25 16376:16384">
      <c r="A74" s="45" t="s">
        <v>230</v>
      </c>
      <c r="B74" s="46">
        <v>46248</v>
      </c>
      <c r="C74" s="47" t="s">
        <v>231</v>
      </c>
      <c r="D74" s="47">
        <v>46248</v>
      </c>
      <c r="E74" s="48" t="s">
        <v>193</v>
      </c>
      <c r="F74" s="60" t="s">
        <v>223</v>
      </c>
      <c r="G74" s="45" t="s">
        <v>30</v>
      </c>
      <c r="H74" s="49" t="s">
        <v>232</v>
      </c>
      <c r="I74" s="49" t="s">
        <v>233</v>
      </c>
      <c r="J74" s="45">
        <v>65000</v>
      </c>
      <c r="K74" s="45">
        <v>2.5</v>
      </c>
      <c r="L74" s="45">
        <v>65000</v>
      </c>
      <c r="M74" s="45">
        <v>162500</v>
      </c>
      <c r="N74" s="47" t="s">
        <v>38</v>
      </c>
      <c r="O74" s="47">
        <v>46252</v>
      </c>
      <c r="P74" s="47">
        <v>46253</v>
      </c>
      <c r="Q74" s="47">
        <v>46255</v>
      </c>
      <c r="R74" s="47">
        <v>46260</v>
      </c>
      <c r="S74" s="50">
        <v>46260</v>
      </c>
      <c r="T74" s="31">
        <f ca="1" t="shared" si="27"/>
        <v>13</v>
      </c>
      <c r="W74" s="51">
        <f t="shared" si="25"/>
        <v>1</v>
      </c>
      <c r="X74" s="1">
        <f t="shared" si="26"/>
        <v>2</v>
      </c>
      <c r="XEV74" s="56"/>
      <c r="XEW74" s="57"/>
      <c r="XEX74" s="58"/>
      <c r="XEY74" s="58"/>
      <c r="XEZ74" s="59"/>
      <c r="XFA74" s="45"/>
      <c r="XFB74" s="46"/>
      <c r="XFC74" s="47"/>
      <c r="XFD74" s="47"/>
    </row>
    <row r="75" s="1" customFormat="1" ht="14.1" customHeight="1" spans="1:25 16376:16384">
      <c r="A75" s="45" t="s">
        <v>234</v>
      </c>
      <c r="B75" s="46">
        <v>46252</v>
      </c>
      <c r="C75" s="47">
        <v>8110001614</v>
      </c>
      <c r="D75" s="47">
        <v>46252</v>
      </c>
      <c r="E75" s="48" t="s">
        <v>235</v>
      </c>
      <c r="F75" s="60" t="s">
        <v>236</v>
      </c>
      <c r="G75" s="45" t="s">
        <v>35</v>
      </c>
      <c r="H75" s="49">
        <v>1054229</v>
      </c>
      <c r="I75" s="49" t="s">
        <v>237</v>
      </c>
      <c r="J75" s="45">
        <v>32000</v>
      </c>
      <c r="K75" s="45">
        <v>3.54</v>
      </c>
      <c r="L75" s="45">
        <v>32000</v>
      </c>
      <c r="M75" s="45">
        <v>113280</v>
      </c>
      <c r="N75" s="47" t="s">
        <v>238</v>
      </c>
      <c r="O75" s="47">
        <v>46254</v>
      </c>
      <c r="P75" s="47">
        <v>46255</v>
      </c>
      <c r="Q75" s="47"/>
      <c r="R75" s="47"/>
      <c r="S75" s="47"/>
      <c r="T75" s="31">
        <f ca="1" t="shared" si="27"/>
        <v>9</v>
      </c>
      <c r="XEV75" s="56"/>
      <c r="XEW75" s="57"/>
      <c r="XEX75" s="58"/>
      <c r="XEY75" s="58"/>
      <c r="XEZ75" s="59"/>
      <c r="XFA75" s="45"/>
      <c r="XFB75" s="46"/>
      <c r="XFC75" s="47"/>
      <c r="XFD75" s="47"/>
    </row>
    <row r="76" s="1" customFormat="1" ht="14.1" customHeight="1" spans="1:25 16376:16384">
      <c r="A76" s="45" t="s">
        <v>239</v>
      </c>
      <c r="B76" s="46">
        <v>46252</v>
      </c>
      <c r="C76" s="47">
        <v>8110001614</v>
      </c>
      <c r="D76" s="47">
        <v>46252</v>
      </c>
      <c r="E76" s="48" t="s">
        <v>235</v>
      </c>
      <c r="F76" s="41" t="s">
        <v>236</v>
      </c>
      <c r="G76" s="45" t="s">
        <v>35</v>
      </c>
      <c r="H76" s="49">
        <v>1053035</v>
      </c>
      <c r="I76" s="49" t="s">
        <v>240</v>
      </c>
      <c r="J76" s="45">
        <v>135000</v>
      </c>
      <c r="K76" s="45">
        <v>1.35</v>
      </c>
      <c r="L76" s="45">
        <v>135000</v>
      </c>
      <c r="M76" s="45">
        <v>182250</v>
      </c>
      <c r="N76" s="47" t="s">
        <v>79</v>
      </c>
      <c r="O76" s="47">
        <v>46254</v>
      </c>
      <c r="P76" s="47"/>
      <c r="Q76" s="47"/>
      <c r="R76" s="47"/>
      <c r="S76" s="47"/>
      <c r="T76" s="31">
        <f ca="1">TODAY()-U76</f>
        <v>2</v>
      </c>
      <c r="U76" s="62">
        <v>46259</v>
      </c>
      <c r="XEV76" s="56"/>
      <c r="XEW76" s="57"/>
      <c r="XEX76" s="58"/>
      <c r="XEY76" s="58"/>
      <c r="XEZ76" s="59"/>
      <c r="XFA76" s="45"/>
      <c r="XFB76" s="46"/>
      <c r="XFC76" s="47"/>
      <c r="XFD76" s="47"/>
    </row>
    <row r="77" s="1" customFormat="1" ht="14.1" customHeight="1" spans="1:25 16376:16384">
      <c r="A77" s="45" t="s">
        <v>241</v>
      </c>
      <c r="B77" s="46">
        <v>46252</v>
      </c>
      <c r="C77" s="47">
        <v>8110001613</v>
      </c>
      <c r="D77" s="47" t="s">
        <v>242</v>
      </c>
      <c r="E77" s="48" t="s">
        <v>40</v>
      </c>
      <c r="F77" s="60" t="s">
        <v>29</v>
      </c>
      <c r="G77" s="45" t="s">
        <v>35</v>
      </c>
      <c r="H77" s="49">
        <v>1054883</v>
      </c>
      <c r="I77" s="49" t="s">
        <v>243</v>
      </c>
      <c r="J77" s="45">
        <v>230000</v>
      </c>
      <c r="K77" s="45">
        <v>1.75</v>
      </c>
      <c r="L77" s="45">
        <v>230000</v>
      </c>
      <c r="M77" s="45">
        <v>402500</v>
      </c>
      <c r="N77" s="47" t="s">
        <v>244</v>
      </c>
      <c r="O77" s="47">
        <v>46254</v>
      </c>
      <c r="P77" s="47">
        <v>46255</v>
      </c>
      <c r="Q77" s="47"/>
      <c r="R77" s="47"/>
      <c r="S77" s="47"/>
      <c r="T77" s="31">
        <f ca="1" t="shared" ref="T77:T82" si="28">TODAY()-B77</f>
        <v>9</v>
      </c>
      <c r="XEV77" s="56"/>
      <c r="XEW77" s="57"/>
      <c r="XEX77" s="58"/>
      <c r="XEY77" s="58"/>
      <c r="XEZ77" s="59"/>
      <c r="XFA77" s="45"/>
      <c r="XFB77" s="46"/>
      <c r="XFC77" s="47"/>
      <c r="XFD77" s="47"/>
    </row>
    <row r="78" s="1" customFormat="1" ht="14.1" customHeight="1" spans="1:25 16376:16384">
      <c r="A78" s="45" t="s">
        <v>245</v>
      </c>
      <c r="B78" s="46">
        <v>46252</v>
      </c>
      <c r="C78" s="47">
        <v>8110001613</v>
      </c>
      <c r="D78" s="47">
        <v>46252</v>
      </c>
      <c r="E78" s="48" t="s">
        <v>40</v>
      </c>
      <c r="F78" s="60" t="s">
        <v>29</v>
      </c>
      <c r="G78" s="45" t="s">
        <v>35</v>
      </c>
      <c r="H78" s="49">
        <v>1054886</v>
      </c>
      <c r="I78" s="49" t="s">
        <v>246</v>
      </c>
      <c r="J78" s="45">
        <v>72000</v>
      </c>
      <c r="K78" s="45">
        <v>1.45</v>
      </c>
      <c r="L78" s="45">
        <v>72000</v>
      </c>
      <c r="M78" s="45">
        <v>104400</v>
      </c>
      <c r="N78" s="47" t="s">
        <v>244</v>
      </c>
      <c r="O78" s="47">
        <v>46254</v>
      </c>
      <c r="P78" s="47">
        <v>46260</v>
      </c>
      <c r="Q78" s="47"/>
      <c r="R78" s="47"/>
      <c r="S78" s="47"/>
      <c r="T78" s="31">
        <f ca="1" t="shared" si="28"/>
        <v>9</v>
      </c>
      <c r="XEV78" s="56"/>
      <c r="XEW78" s="57"/>
      <c r="XEX78" s="58"/>
      <c r="XEY78" s="58"/>
      <c r="XEZ78" s="59"/>
      <c r="XFA78" s="45"/>
      <c r="XFB78" s="46"/>
      <c r="XFC78" s="47"/>
      <c r="XFD78" s="47"/>
    </row>
    <row r="79" s="1" customFormat="1" ht="14.1" customHeight="1" spans="1:25 16376:16384">
      <c r="A79" s="45" t="s">
        <v>247</v>
      </c>
      <c r="B79" s="46">
        <v>46252</v>
      </c>
      <c r="C79" s="47">
        <v>9500227628</v>
      </c>
      <c r="D79" s="47">
        <v>46247</v>
      </c>
      <c r="E79" s="48" t="s">
        <v>189</v>
      </c>
      <c r="F79" s="41" t="s">
        <v>190</v>
      </c>
      <c r="G79" s="45" t="s">
        <v>35</v>
      </c>
      <c r="H79" s="49">
        <v>2098172</v>
      </c>
      <c r="I79" s="49" t="s">
        <v>248</v>
      </c>
      <c r="J79" s="45">
        <v>3000</v>
      </c>
      <c r="K79" s="45">
        <v>7.5</v>
      </c>
      <c r="L79" s="45">
        <v>3000</v>
      </c>
      <c r="M79" s="45">
        <v>22500</v>
      </c>
      <c r="N79" s="47" t="s">
        <v>71</v>
      </c>
      <c r="O79" s="47">
        <v>46261</v>
      </c>
      <c r="P79" s="47"/>
      <c r="Q79" s="47"/>
      <c r="R79" s="47"/>
      <c r="S79" s="47"/>
      <c r="T79" s="31">
        <f ca="1" t="shared" ref="T79:T84" si="29">TODAY()-U79</f>
        <v>3</v>
      </c>
      <c r="U79" s="62">
        <v>46258</v>
      </c>
      <c r="XEV79" s="56"/>
      <c r="XEW79" s="57"/>
      <c r="XEX79" s="58"/>
      <c r="XEY79" s="58"/>
      <c r="XEZ79" s="59"/>
      <c r="XFA79" s="45"/>
      <c r="XFB79" s="46"/>
      <c r="XFC79" s="47"/>
      <c r="XFD79" s="47"/>
    </row>
    <row r="80" s="1" customFormat="1" ht="14.1" customHeight="1" spans="1:25 16376:16384">
      <c r="A80" s="45" t="s">
        <v>249</v>
      </c>
      <c r="B80" s="46">
        <v>46252</v>
      </c>
      <c r="C80" s="47">
        <v>9500227628</v>
      </c>
      <c r="D80" s="47">
        <v>46247</v>
      </c>
      <c r="E80" s="48" t="s">
        <v>189</v>
      </c>
      <c r="F80" s="41" t="s">
        <v>190</v>
      </c>
      <c r="G80" s="45" t="s">
        <v>35</v>
      </c>
      <c r="H80" s="49">
        <v>2109877</v>
      </c>
      <c r="I80" s="49" t="s">
        <v>250</v>
      </c>
      <c r="J80" s="45">
        <v>10000</v>
      </c>
      <c r="K80" s="45">
        <v>3.75</v>
      </c>
      <c r="L80" s="45">
        <v>10000</v>
      </c>
      <c r="M80" s="45">
        <v>37500</v>
      </c>
      <c r="N80" s="47" t="s">
        <v>32</v>
      </c>
      <c r="O80" s="47"/>
      <c r="P80" s="47"/>
      <c r="Q80" s="47"/>
      <c r="R80" s="47"/>
      <c r="S80" s="47"/>
      <c r="T80" s="31">
        <f ca="1" t="shared" si="28"/>
        <v>9</v>
      </c>
      <c r="XEV80" s="56"/>
      <c r="XEW80" s="57"/>
      <c r="XEX80" s="58"/>
      <c r="XEY80" s="58"/>
      <c r="XEZ80" s="59"/>
      <c r="XFA80" s="45"/>
      <c r="XFB80" s="46"/>
      <c r="XFC80" s="47"/>
      <c r="XFD80" s="47"/>
    </row>
    <row r="81" s="1" customFormat="1" ht="14.1" customHeight="1" spans="1:21 16376:16384">
      <c r="A81" s="45" t="s">
        <v>251</v>
      </c>
      <c r="B81" s="46">
        <v>46252</v>
      </c>
      <c r="C81" s="47">
        <v>9500227628</v>
      </c>
      <c r="D81" s="47">
        <v>46247</v>
      </c>
      <c r="E81" s="48" t="s">
        <v>189</v>
      </c>
      <c r="F81" s="41" t="s">
        <v>190</v>
      </c>
      <c r="G81" s="45" t="s">
        <v>35</v>
      </c>
      <c r="H81" s="49">
        <v>2111033</v>
      </c>
      <c r="I81" s="49" t="s">
        <v>252</v>
      </c>
      <c r="J81" s="45">
        <v>15000</v>
      </c>
      <c r="K81" s="45">
        <v>2.1</v>
      </c>
      <c r="L81" s="45">
        <v>15000</v>
      </c>
      <c r="M81" s="45">
        <v>31500</v>
      </c>
      <c r="N81" s="47" t="s">
        <v>32</v>
      </c>
      <c r="O81" s="47"/>
      <c r="P81" s="47"/>
      <c r="Q81" s="47"/>
      <c r="R81" s="47"/>
      <c r="S81" s="47"/>
      <c r="T81" s="31">
        <f ca="1" t="shared" si="28"/>
        <v>9</v>
      </c>
      <c r="XEV81" s="56"/>
      <c r="XEW81" s="57"/>
      <c r="XEX81" s="58"/>
      <c r="XEY81" s="58"/>
      <c r="XEZ81" s="59"/>
      <c r="XFA81" s="45"/>
      <c r="XFB81" s="46"/>
      <c r="XFC81" s="47"/>
      <c r="XFD81" s="47"/>
    </row>
    <row r="82" s="1" customFormat="1" ht="14.1" customHeight="1" spans="1:21 16376:16384">
      <c r="A82" s="45" t="s">
        <v>253</v>
      </c>
      <c r="B82" s="46">
        <v>46252</v>
      </c>
      <c r="C82" s="47">
        <v>9500227628</v>
      </c>
      <c r="D82" s="47">
        <v>46247</v>
      </c>
      <c r="E82" s="48" t="s">
        <v>189</v>
      </c>
      <c r="F82" s="41" t="s">
        <v>190</v>
      </c>
      <c r="G82" s="45" t="s">
        <v>35</v>
      </c>
      <c r="H82" s="49">
        <v>2112114</v>
      </c>
      <c r="I82" s="49" t="s">
        <v>254</v>
      </c>
      <c r="J82" s="45">
        <v>4000</v>
      </c>
      <c r="K82" s="45">
        <v>6.4</v>
      </c>
      <c r="L82" s="45">
        <v>4000</v>
      </c>
      <c r="M82" s="45">
        <v>25600</v>
      </c>
      <c r="N82" s="47" t="s">
        <v>32</v>
      </c>
      <c r="O82" s="47"/>
      <c r="P82" s="47"/>
      <c r="Q82" s="47"/>
      <c r="R82" s="47"/>
      <c r="S82" s="47"/>
      <c r="T82" s="31">
        <f ca="1" t="shared" si="28"/>
        <v>9</v>
      </c>
      <c r="XEV82" s="56"/>
      <c r="XEW82" s="57"/>
      <c r="XEX82" s="58"/>
      <c r="XEY82" s="58"/>
      <c r="XEZ82" s="59"/>
      <c r="XFA82" s="45"/>
      <c r="XFB82" s="46"/>
      <c r="XFC82" s="47"/>
      <c r="XFD82" s="47"/>
    </row>
    <row r="83" s="1" customFormat="1" ht="14.1" customHeight="1" spans="1:21 16376:16384">
      <c r="A83" s="45" t="s">
        <v>255</v>
      </c>
      <c r="B83" s="46">
        <v>46252</v>
      </c>
      <c r="C83" s="47">
        <v>9500227628</v>
      </c>
      <c r="D83" s="47">
        <v>46247</v>
      </c>
      <c r="E83" s="48" t="s">
        <v>189</v>
      </c>
      <c r="F83" s="41" t="s">
        <v>190</v>
      </c>
      <c r="G83" s="45" t="s">
        <v>35</v>
      </c>
      <c r="H83" s="49">
        <v>2112158</v>
      </c>
      <c r="I83" s="49" t="s">
        <v>256</v>
      </c>
      <c r="J83" s="45">
        <v>4000</v>
      </c>
      <c r="K83" s="45">
        <v>11</v>
      </c>
      <c r="L83" s="45">
        <v>4000</v>
      </c>
      <c r="M83" s="45">
        <v>44000</v>
      </c>
      <c r="N83" s="47" t="s">
        <v>71</v>
      </c>
      <c r="O83" s="47">
        <v>46261</v>
      </c>
      <c r="P83" s="47"/>
      <c r="Q83" s="47"/>
      <c r="R83" s="47"/>
      <c r="S83" s="47"/>
      <c r="T83" s="31">
        <f ca="1" t="shared" si="29"/>
        <v>3</v>
      </c>
      <c r="U83" s="62">
        <v>46258</v>
      </c>
      <c r="XEV83" s="56"/>
      <c r="XEW83" s="57"/>
      <c r="XEX83" s="58"/>
      <c r="XEY83" s="58"/>
      <c r="XEZ83" s="59"/>
      <c r="XFA83" s="45"/>
      <c r="XFB83" s="46"/>
      <c r="XFC83" s="47"/>
      <c r="XFD83" s="47"/>
    </row>
    <row r="84" s="1" customFormat="1" ht="14.1" customHeight="1" spans="1:21 16376:16384">
      <c r="A84" s="45" t="s">
        <v>257</v>
      </c>
      <c r="B84" s="46">
        <v>46252</v>
      </c>
      <c r="C84" s="47">
        <v>9500227628</v>
      </c>
      <c r="D84" s="47">
        <v>46247</v>
      </c>
      <c r="E84" s="48" t="s">
        <v>189</v>
      </c>
      <c r="F84" s="41" t="s">
        <v>190</v>
      </c>
      <c r="G84" s="45" t="s">
        <v>35</v>
      </c>
      <c r="H84" s="49">
        <v>2112159</v>
      </c>
      <c r="I84" s="49" t="s">
        <v>258</v>
      </c>
      <c r="J84" s="45">
        <v>3000</v>
      </c>
      <c r="K84" s="45">
        <v>13.95</v>
      </c>
      <c r="L84" s="45">
        <v>3000</v>
      </c>
      <c r="M84" s="45">
        <v>41850</v>
      </c>
      <c r="N84" s="47" t="s">
        <v>71</v>
      </c>
      <c r="O84" s="47">
        <v>46261</v>
      </c>
      <c r="P84" s="47"/>
      <c r="Q84" s="47"/>
      <c r="R84" s="47"/>
      <c r="S84" s="47"/>
      <c r="T84" s="31">
        <f ca="1" t="shared" si="29"/>
        <v>3</v>
      </c>
      <c r="U84" s="62">
        <v>46258</v>
      </c>
      <c r="XEV84" s="56"/>
      <c r="XEW84" s="57"/>
      <c r="XEX84" s="58"/>
      <c r="XEY84" s="58"/>
      <c r="XEZ84" s="59"/>
      <c r="XFA84" s="45"/>
      <c r="XFB84" s="46"/>
      <c r="XFC84" s="47"/>
      <c r="XFD84" s="47"/>
    </row>
    <row r="85" s="1" customFormat="1" ht="14.1" customHeight="1" spans="1:21 16376:16384">
      <c r="A85" s="45" t="s">
        <v>259</v>
      </c>
      <c r="B85" s="46">
        <v>46252</v>
      </c>
      <c r="C85" s="47">
        <v>9500227628</v>
      </c>
      <c r="D85" s="47">
        <v>46247</v>
      </c>
      <c r="E85" s="48" t="s">
        <v>189</v>
      </c>
      <c r="F85" s="41" t="s">
        <v>190</v>
      </c>
      <c r="G85" s="45" t="s">
        <v>35</v>
      </c>
      <c r="H85" s="49">
        <v>2112453</v>
      </c>
      <c r="I85" s="49" t="s">
        <v>260</v>
      </c>
      <c r="J85" s="45">
        <v>3000</v>
      </c>
      <c r="K85" s="45">
        <v>14.5</v>
      </c>
      <c r="L85" s="45">
        <v>3000</v>
      </c>
      <c r="M85" s="45">
        <v>43500</v>
      </c>
      <c r="N85" s="47" t="s">
        <v>32</v>
      </c>
      <c r="O85" s="47"/>
      <c r="P85" s="47"/>
      <c r="Q85" s="47"/>
      <c r="R85" s="47"/>
      <c r="S85" s="47"/>
      <c r="T85" s="31">
        <f ca="1" t="shared" ref="T85:T113" si="30">TODAY()-B85</f>
        <v>9</v>
      </c>
      <c r="XEV85" s="56"/>
      <c r="XEW85" s="57"/>
      <c r="XEX85" s="58"/>
      <c r="XEY85" s="58"/>
      <c r="XEZ85" s="59"/>
      <c r="XFA85" s="45"/>
      <c r="XFB85" s="46"/>
      <c r="XFC85" s="47"/>
      <c r="XFD85" s="47"/>
    </row>
    <row r="86" s="1" customFormat="1" ht="14.1" customHeight="1" spans="1:21 16376:16384">
      <c r="A86" s="45" t="s">
        <v>261</v>
      </c>
      <c r="B86" s="46">
        <v>46252</v>
      </c>
      <c r="C86" s="47">
        <v>9500227836</v>
      </c>
      <c r="D86" s="47">
        <v>46248</v>
      </c>
      <c r="E86" s="48" t="s">
        <v>44</v>
      </c>
      <c r="F86" s="41" t="s">
        <v>45</v>
      </c>
      <c r="G86" s="45" t="s">
        <v>35</v>
      </c>
      <c r="H86" s="49">
        <v>2104884</v>
      </c>
      <c r="I86" s="49" t="s">
        <v>262</v>
      </c>
      <c r="J86" s="45">
        <v>3500</v>
      </c>
      <c r="K86" s="45">
        <v>8</v>
      </c>
      <c r="L86" s="45">
        <v>3500</v>
      </c>
      <c r="M86" s="45">
        <v>28000</v>
      </c>
      <c r="N86" s="47" t="s">
        <v>263</v>
      </c>
      <c r="O86" s="47"/>
      <c r="P86" s="47"/>
      <c r="Q86" s="47"/>
      <c r="R86" s="47"/>
      <c r="S86" s="47"/>
      <c r="T86" s="31">
        <f ca="1">TODAY()-U86</f>
        <v>2</v>
      </c>
      <c r="U86" s="62">
        <v>46259</v>
      </c>
      <c r="XEV86" s="56"/>
      <c r="XEW86" s="57"/>
      <c r="XEX86" s="58"/>
      <c r="XEY86" s="58"/>
      <c r="XEZ86" s="59"/>
      <c r="XFA86" s="45"/>
      <c r="XFB86" s="46"/>
      <c r="XFC86" s="47"/>
      <c r="XFD86" s="47"/>
    </row>
    <row r="87" s="1" customFormat="1" ht="14.1" customHeight="1" spans="1:21 16376:16384">
      <c r="A87" s="45" t="s">
        <v>264</v>
      </c>
      <c r="B87" s="46">
        <v>46252</v>
      </c>
      <c r="C87" s="47">
        <v>9500227836</v>
      </c>
      <c r="D87" s="47">
        <v>46248</v>
      </c>
      <c r="E87" s="48" t="s">
        <v>44</v>
      </c>
      <c r="F87" s="41" t="s">
        <v>45</v>
      </c>
      <c r="G87" s="45" t="s">
        <v>35</v>
      </c>
      <c r="H87" s="49">
        <v>2104885</v>
      </c>
      <c r="I87" s="49" t="s">
        <v>265</v>
      </c>
      <c r="J87" s="45">
        <v>3500</v>
      </c>
      <c r="K87" s="45">
        <v>8</v>
      </c>
      <c r="L87" s="45">
        <v>3500</v>
      </c>
      <c r="M87" s="45">
        <v>28000</v>
      </c>
      <c r="N87" s="47" t="s">
        <v>263</v>
      </c>
      <c r="O87" s="47"/>
      <c r="P87" s="47"/>
      <c r="Q87" s="47"/>
      <c r="R87" s="47"/>
      <c r="S87" s="47"/>
      <c r="T87" s="31">
        <f ca="1">TODAY()-U87</f>
        <v>2</v>
      </c>
      <c r="U87" s="62">
        <v>46259</v>
      </c>
      <c r="XEV87" s="56"/>
      <c r="XEW87" s="57"/>
      <c r="XEX87" s="58"/>
      <c r="XEY87" s="58"/>
      <c r="XEZ87" s="59"/>
      <c r="XFA87" s="45"/>
      <c r="XFB87" s="46"/>
      <c r="XFC87" s="47"/>
      <c r="XFD87" s="47"/>
    </row>
    <row r="88" s="1" customFormat="1" ht="14.1" customHeight="1" spans="1:21 16376:16384">
      <c r="A88" s="45" t="s">
        <v>266</v>
      </c>
      <c r="B88" s="46">
        <v>46252</v>
      </c>
      <c r="C88" s="47">
        <v>9500227740</v>
      </c>
      <c r="D88" s="47">
        <v>46248</v>
      </c>
      <c r="E88" s="48" t="s">
        <v>44</v>
      </c>
      <c r="F88" s="41" t="s">
        <v>45</v>
      </c>
      <c r="G88" s="45" t="s">
        <v>30</v>
      </c>
      <c r="H88" s="49">
        <v>2111051</v>
      </c>
      <c r="I88" s="49" t="s">
        <v>267</v>
      </c>
      <c r="J88" s="45">
        <v>6000</v>
      </c>
      <c r="K88" s="45">
        <v>5.25</v>
      </c>
      <c r="L88" s="45">
        <v>6000</v>
      </c>
      <c r="M88" s="45">
        <v>31500</v>
      </c>
      <c r="N88" s="47" t="s">
        <v>79</v>
      </c>
      <c r="O88" s="47">
        <v>46255</v>
      </c>
      <c r="P88" s="47">
        <v>46256</v>
      </c>
      <c r="Q88" s="47"/>
      <c r="R88" s="47"/>
      <c r="S88" s="50">
        <v>46263</v>
      </c>
      <c r="T88" s="31">
        <f ca="1" t="shared" si="30"/>
        <v>9</v>
      </c>
      <c r="XEV88" s="56"/>
      <c r="XEW88" s="57"/>
      <c r="XEX88" s="58"/>
      <c r="XEY88" s="58"/>
      <c r="XEZ88" s="59"/>
      <c r="XFA88" s="45"/>
      <c r="XFB88" s="46"/>
      <c r="XFC88" s="47"/>
      <c r="XFD88" s="47"/>
    </row>
    <row r="89" s="1" customFormat="1" ht="14.1" customHeight="1" spans="1:21 16376:16384">
      <c r="A89" s="45" t="s">
        <v>268</v>
      </c>
      <c r="B89" s="46">
        <v>46252</v>
      </c>
      <c r="C89" s="47">
        <v>2142606374</v>
      </c>
      <c r="D89" s="47">
        <v>46251</v>
      </c>
      <c r="E89" s="48" t="s">
        <v>269</v>
      </c>
      <c r="F89" s="41" t="s">
        <v>270</v>
      </c>
      <c r="G89" s="45" t="s">
        <v>30</v>
      </c>
      <c r="H89" s="49" t="s">
        <v>271</v>
      </c>
      <c r="I89" s="49" t="s">
        <v>272</v>
      </c>
      <c r="J89" s="45">
        <v>3090</v>
      </c>
      <c r="K89" s="45">
        <v>8.5</v>
      </c>
      <c r="L89" s="45">
        <v>3090</v>
      </c>
      <c r="M89" s="45">
        <v>26265</v>
      </c>
      <c r="N89" s="47" t="s">
        <v>79</v>
      </c>
      <c r="O89" s="47">
        <v>46255</v>
      </c>
      <c r="P89" s="47">
        <v>46256</v>
      </c>
      <c r="Q89" s="47"/>
      <c r="R89" s="47"/>
      <c r="S89" s="47"/>
      <c r="T89" s="31">
        <f ca="1" t="shared" si="30"/>
        <v>9</v>
      </c>
      <c r="XEV89" s="56"/>
      <c r="XEW89" s="57"/>
      <c r="XEX89" s="58"/>
      <c r="XEY89" s="58"/>
      <c r="XEZ89" s="59"/>
      <c r="XFA89" s="45"/>
      <c r="XFB89" s="46"/>
      <c r="XFC89" s="47"/>
      <c r="XFD89" s="47"/>
    </row>
    <row r="90" s="1" customFormat="1" ht="14.1" customHeight="1" spans="1:21 16376:16384">
      <c r="A90" s="45" t="s">
        <v>273</v>
      </c>
      <c r="B90" s="46">
        <v>46254</v>
      </c>
      <c r="C90" s="47">
        <v>9500228176</v>
      </c>
      <c r="D90" s="47">
        <v>46251</v>
      </c>
      <c r="E90" s="48" t="s">
        <v>189</v>
      </c>
      <c r="F90" s="41" t="s">
        <v>190</v>
      </c>
      <c r="G90" s="45" t="s">
        <v>30</v>
      </c>
      <c r="H90" s="49">
        <v>2085274</v>
      </c>
      <c r="I90" s="49" t="s">
        <v>274</v>
      </c>
      <c r="J90" s="45">
        <v>3000</v>
      </c>
      <c r="K90" s="45">
        <v>6.65</v>
      </c>
      <c r="L90" s="45">
        <v>3000</v>
      </c>
      <c r="M90" s="45">
        <v>19950</v>
      </c>
      <c r="N90" s="47" t="s">
        <v>79</v>
      </c>
      <c r="O90" s="47">
        <v>46255</v>
      </c>
      <c r="P90" s="47">
        <v>46256</v>
      </c>
      <c r="Q90" s="47"/>
      <c r="R90" s="47"/>
      <c r="S90" s="47"/>
      <c r="T90" s="31">
        <f ca="1" t="shared" si="30"/>
        <v>7</v>
      </c>
      <c r="XEV90" s="56"/>
      <c r="XEW90" s="57"/>
      <c r="XEX90" s="58"/>
      <c r="XEY90" s="58"/>
      <c r="XEZ90" s="59"/>
      <c r="XFA90" s="45"/>
      <c r="XFB90" s="46"/>
      <c r="XFC90" s="47"/>
      <c r="XFD90" s="47"/>
    </row>
    <row r="91" s="1" customFormat="1" ht="14.1" customHeight="1" spans="1:21 16376:16384">
      <c r="A91" s="45" t="s">
        <v>275</v>
      </c>
      <c r="B91" s="46">
        <v>46254</v>
      </c>
      <c r="C91" s="47" t="s">
        <v>276</v>
      </c>
      <c r="D91" s="47">
        <v>46254</v>
      </c>
      <c r="E91" s="48" t="s">
        <v>277</v>
      </c>
      <c r="F91" s="60" t="s">
        <v>278</v>
      </c>
      <c r="G91" s="45" t="s">
        <v>35</v>
      </c>
      <c r="H91" s="49" t="s">
        <v>279</v>
      </c>
      <c r="I91" s="49" t="s">
        <v>280</v>
      </c>
      <c r="J91" s="45">
        <v>25000</v>
      </c>
      <c r="K91" s="45">
        <v>4.2</v>
      </c>
      <c r="L91" s="45">
        <v>25000</v>
      </c>
      <c r="M91" s="45">
        <v>105000</v>
      </c>
      <c r="N91" s="47" t="s">
        <v>281</v>
      </c>
      <c r="O91" s="47">
        <v>46259</v>
      </c>
      <c r="P91" s="47"/>
      <c r="Q91" s="47"/>
      <c r="R91" s="47"/>
      <c r="S91" s="47"/>
      <c r="T91" s="31">
        <f ca="1" t="shared" si="30"/>
        <v>7</v>
      </c>
      <c r="XEV91" s="56"/>
      <c r="XEW91" s="57"/>
      <c r="XEX91" s="58"/>
      <c r="XEY91" s="58"/>
      <c r="XEZ91" s="59"/>
      <c r="XFA91" s="45"/>
      <c r="XFB91" s="46"/>
      <c r="XFC91" s="47"/>
      <c r="XFD91" s="47"/>
    </row>
    <row r="92" s="1" customFormat="1" ht="14.1" customHeight="1" spans="1:21 16376:16384">
      <c r="A92" s="45" t="s">
        <v>282</v>
      </c>
      <c r="B92" s="46">
        <v>46254</v>
      </c>
      <c r="C92" s="47">
        <v>242612336</v>
      </c>
      <c r="D92" s="47">
        <v>46253</v>
      </c>
      <c r="E92" s="48" t="s">
        <v>283</v>
      </c>
      <c r="F92" s="60" t="s">
        <v>284</v>
      </c>
      <c r="G92" s="45" t="s">
        <v>30</v>
      </c>
      <c r="H92" s="49" t="s">
        <v>285</v>
      </c>
      <c r="I92" s="49" t="s">
        <v>286</v>
      </c>
      <c r="J92" s="45">
        <v>52000</v>
      </c>
      <c r="K92" s="45">
        <v>3.15</v>
      </c>
      <c r="L92" s="45">
        <v>52000</v>
      </c>
      <c r="M92" s="45">
        <v>163800</v>
      </c>
      <c r="N92" s="47" t="s">
        <v>124</v>
      </c>
      <c r="O92" s="47">
        <v>46255</v>
      </c>
      <c r="P92" s="47">
        <v>46256</v>
      </c>
      <c r="Q92" s="47">
        <v>46260</v>
      </c>
      <c r="R92" s="47"/>
      <c r="S92" s="47"/>
      <c r="T92" s="31">
        <f ca="1" t="shared" si="30"/>
        <v>7</v>
      </c>
      <c r="XEV92" s="56"/>
      <c r="XEW92" s="57"/>
      <c r="XEX92" s="58"/>
      <c r="XEY92" s="58"/>
      <c r="XEZ92" s="59"/>
      <c r="XFA92" s="45"/>
      <c r="XFB92" s="46"/>
      <c r="XFC92" s="47"/>
      <c r="XFD92" s="47"/>
    </row>
    <row r="93" s="1" customFormat="1" ht="14.1" customHeight="1" spans="1:21 16376:16384">
      <c r="A93" s="45" t="s">
        <v>287</v>
      </c>
      <c r="B93" s="46">
        <v>46254</v>
      </c>
      <c r="C93" s="47">
        <v>242612336</v>
      </c>
      <c r="D93" s="47">
        <v>46253</v>
      </c>
      <c r="E93" s="48" t="s">
        <v>283</v>
      </c>
      <c r="F93" s="41" t="s">
        <v>284</v>
      </c>
      <c r="G93" s="45" t="s">
        <v>30</v>
      </c>
      <c r="H93" s="49" t="s">
        <v>288</v>
      </c>
      <c r="I93" s="49" t="s">
        <v>289</v>
      </c>
      <c r="J93" s="45">
        <v>4783</v>
      </c>
      <c r="K93" s="45">
        <v>8.5</v>
      </c>
      <c r="L93" s="45">
        <v>4783</v>
      </c>
      <c r="M93" s="45">
        <v>40655.5</v>
      </c>
      <c r="N93" s="47" t="s">
        <v>79</v>
      </c>
      <c r="O93" s="47">
        <v>46255</v>
      </c>
      <c r="P93" s="47">
        <v>46256</v>
      </c>
      <c r="Q93" s="47"/>
      <c r="R93" s="47"/>
      <c r="S93" s="47"/>
      <c r="T93" s="31">
        <f ca="1" t="shared" si="30"/>
        <v>7</v>
      </c>
      <c r="XEV93" s="56"/>
      <c r="XEW93" s="57"/>
      <c r="XEX93" s="58"/>
      <c r="XEY93" s="58"/>
      <c r="XEZ93" s="59"/>
      <c r="XFA93" s="45"/>
      <c r="XFB93" s="46"/>
      <c r="XFC93" s="47"/>
      <c r="XFD93" s="47"/>
    </row>
    <row r="94" s="1" customFormat="1" ht="14.1" customHeight="1" spans="1:21 16376:16384">
      <c r="A94" s="45" t="s">
        <v>290</v>
      </c>
      <c r="B94" s="46">
        <v>46254</v>
      </c>
      <c r="C94" s="47">
        <v>242612336</v>
      </c>
      <c r="D94" s="47">
        <v>46253</v>
      </c>
      <c r="E94" s="48" t="s">
        <v>283</v>
      </c>
      <c r="F94" s="60" t="s">
        <v>284</v>
      </c>
      <c r="G94" s="45" t="s">
        <v>30</v>
      </c>
      <c r="H94" s="49" t="s">
        <v>291</v>
      </c>
      <c r="I94" s="49" t="s">
        <v>292</v>
      </c>
      <c r="J94" s="45">
        <v>4813</v>
      </c>
      <c r="K94" s="45">
        <v>8.5</v>
      </c>
      <c r="L94" s="45">
        <v>4813</v>
      </c>
      <c r="M94" s="45">
        <v>40910.5</v>
      </c>
      <c r="N94" s="47" t="s">
        <v>79</v>
      </c>
      <c r="O94" s="47">
        <v>46255</v>
      </c>
      <c r="P94" s="47">
        <v>46256</v>
      </c>
      <c r="Q94" s="47"/>
      <c r="R94" s="47"/>
      <c r="S94" s="47"/>
      <c r="T94" s="31">
        <f ca="1" t="shared" si="30"/>
        <v>7</v>
      </c>
      <c r="XEV94" s="56"/>
      <c r="XEW94" s="57"/>
      <c r="XEX94" s="58"/>
      <c r="XEY94" s="58"/>
      <c r="XEZ94" s="59"/>
      <c r="XFA94" s="45"/>
      <c r="XFB94" s="46"/>
      <c r="XFC94" s="47"/>
      <c r="XFD94" s="47"/>
    </row>
    <row r="95" s="1" customFormat="1" ht="14.1" customHeight="1" spans="1:21 16376:16384">
      <c r="A95" s="45" t="s">
        <v>293</v>
      </c>
      <c r="B95" s="46">
        <v>46254</v>
      </c>
      <c r="C95" s="47">
        <v>111043970</v>
      </c>
      <c r="D95" s="47">
        <v>46253</v>
      </c>
      <c r="E95" s="48" t="s">
        <v>40</v>
      </c>
      <c r="F95" s="41" t="s">
        <v>41</v>
      </c>
      <c r="G95" s="45" t="s">
        <v>30</v>
      </c>
      <c r="H95" s="49">
        <v>113006603</v>
      </c>
      <c r="I95" s="49" t="s">
        <v>294</v>
      </c>
      <c r="J95" s="45">
        <v>206300</v>
      </c>
      <c r="K95" s="45">
        <v>1.15</v>
      </c>
      <c r="L95" s="45">
        <v>206300</v>
      </c>
      <c r="M95" s="45">
        <v>237245</v>
      </c>
      <c r="N95" s="47" t="s">
        <v>32</v>
      </c>
      <c r="O95" s="47">
        <v>46255</v>
      </c>
      <c r="P95" s="47"/>
      <c r="Q95" s="47"/>
      <c r="R95" s="47"/>
      <c r="S95" s="47"/>
      <c r="T95" s="31">
        <f ca="1" t="shared" si="30"/>
        <v>7</v>
      </c>
      <c r="XEV95" s="56"/>
      <c r="XEW95" s="57"/>
      <c r="XEX95" s="58"/>
      <c r="XEY95" s="58"/>
      <c r="XEZ95" s="59"/>
      <c r="XFA95" s="45"/>
      <c r="XFB95" s="46"/>
      <c r="XFC95" s="47"/>
      <c r="XFD95" s="47"/>
    </row>
    <row r="96" s="1" customFormat="1" ht="14.1" customHeight="1" spans="1:21 16376:16384">
      <c r="A96" s="45" t="s">
        <v>295</v>
      </c>
      <c r="B96" s="46">
        <v>46254</v>
      </c>
      <c r="C96" s="47">
        <v>111043970</v>
      </c>
      <c r="D96" s="47">
        <v>46253</v>
      </c>
      <c r="E96" s="48" t="s">
        <v>40</v>
      </c>
      <c r="F96" s="41" t="s">
        <v>41</v>
      </c>
      <c r="G96" s="45" t="s">
        <v>30</v>
      </c>
      <c r="H96" s="49">
        <v>113012354</v>
      </c>
      <c r="I96" s="49" t="s">
        <v>296</v>
      </c>
      <c r="J96" s="45">
        <v>5500</v>
      </c>
      <c r="K96" s="45">
        <v>3.65</v>
      </c>
      <c r="L96" s="45">
        <v>5500</v>
      </c>
      <c r="M96" s="45">
        <v>20075</v>
      </c>
      <c r="N96" s="47" t="s">
        <v>79</v>
      </c>
      <c r="O96" s="47">
        <v>46255</v>
      </c>
      <c r="P96" s="47">
        <v>46256</v>
      </c>
      <c r="Q96" s="47"/>
      <c r="R96" s="47"/>
      <c r="S96" s="47"/>
      <c r="T96" s="31">
        <f ca="1" t="shared" si="30"/>
        <v>7</v>
      </c>
      <c r="XEV96" s="56"/>
      <c r="XEW96" s="57"/>
      <c r="XEX96" s="58"/>
      <c r="XEY96" s="58"/>
      <c r="XEZ96" s="59"/>
      <c r="XFA96" s="45"/>
      <c r="XFB96" s="46"/>
      <c r="XFC96" s="47"/>
      <c r="XFD96" s="47"/>
    </row>
    <row r="97" s="1" customFormat="1" ht="14.1" customHeight="1" spans="1:25 16372:16384">
      <c r="A97" s="45" t="s">
        <v>297</v>
      </c>
      <c r="B97" s="46">
        <v>46254</v>
      </c>
      <c r="C97" s="47">
        <v>111043970</v>
      </c>
      <c r="D97" s="47">
        <v>46253</v>
      </c>
      <c r="E97" s="48" t="s">
        <v>40</v>
      </c>
      <c r="F97" s="41" t="s">
        <v>41</v>
      </c>
      <c r="G97" s="45" t="s">
        <v>30</v>
      </c>
      <c r="H97" s="49">
        <v>113014538</v>
      </c>
      <c r="I97" s="49" t="s">
        <v>298</v>
      </c>
      <c r="J97" s="45">
        <v>5300</v>
      </c>
      <c r="K97" s="45">
        <v>8.3</v>
      </c>
      <c r="L97" s="45">
        <v>5300</v>
      </c>
      <c r="M97" s="45">
        <v>43990</v>
      </c>
      <c r="N97" s="47" t="s">
        <v>32</v>
      </c>
      <c r="O97" s="47">
        <v>46255</v>
      </c>
      <c r="P97" s="47">
        <v>46256</v>
      </c>
      <c r="Q97" s="47"/>
      <c r="R97" s="47"/>
      <c r="S97" s="47"/>
      <c r="T97" s="31">
        <f ca="1" t="shared" si="30"/>
        <v>7</v>
      </c>
      <c r="XEV97" s="56"/>
      <c r="XEW97" s="57"/>
      <c r="XEX97" s="58"/>
      <c r="XEY97" s="58"/>
      <c r="XEZ97" s="59"/>
      <c r="XFA97" s="45"/>
      <c r="XFB97" s="46"/>
      <c r="XFC97" s="47"/>
      <c r="XFD97" s="47"/>
    </row>
    <row r="98" s="1" customFormat="1" ht="14.1" customHeight="1" spans="1:25 16372:16384">
      <c r="A98" s="45" t="s">
        <v>299</v>
      </c>
      <c r="B98" s="46">
        <v>46254</v>
      </c>
      <c r="C98" s="47">
        <v>111043905</v>
      </c>
      <c r="D98" s="47">
        <v>46252</v>
      </c>
      <c r="E98" s="48" t="s">
        <v>40</v>
      </c>
      <c r="F98" s="41" t="s">
        <v>41</v>
      </c>
      <c r="G98" s="45" t="s">
        <v>30</v>
      </c>
      <c r="H98" s="49">
        <v>113011362</v>
      </c>
      <c r="I98" s="49" t="s">
        <v>300</v>
      </c>
      <c r="J98" s="45">
        <v>7000</v>
      </c>
      <c r="K98" s="45">
        <v>1.7</v>
      </c>
      <c r="L98" s="45">
        <v>7000</v>
      </c>
      <c r="M98" s="45">
        <v>11900</v>
      </c>
      <c r="N98" s="47" t="s">
        <v>79</v>
      </c>
      <c r="O98" s="47">
        <v>46255</v>
      </c>
      <c r="P98" s="47">
        <v>46256</v>
      </c>
      <c r="Q98" s="47"/>
      <c r="R98" s="47"/>
      <c r="S98" s="47"/>
      <c r="T98" s="31">
        <f ca="1" t="shared" si="30"/>
        <v>7</v>
      </c>
      <c r="XEV98" s="56"/>
      <c r="XEW98" s="57"/>
      <c r="XEX98" s="58"/>
      <c r="XEY98" s="58"/>
      <c r="XEZ98" s="59"/>
      <c r="XFA98" s="45"/>
      <c r="XFB98" s="46"/>
      <c r="XFC98" s="47"/>
      <c r="XFD98" s="47"/>
    </row>
    <row r="99" s="1" customFormat="1" ht="14.1" customHeight="1" spans="1:25 16372:16384">
      <c r="A99" s="45" t="s">
        <v>301</v>
      </c>
      <c r="B99" s="46">
        <v>46254</v>
      </c>
      <c r="C99" s="47">
        <v>8110001653</v>
      </c>
      <c r="D99" s="47">
        <v>46254</v>
      </c>
      <c r="E99" s="48" t="s">
        <v>40</v>
      </c>
      <c r="F99" s="60" t="s">
        <v>29</v>
      </c>
      <c r="G99" s="45" t="s">
        <v>30</v>
      </c>
      <c r="H99" s="49">
        <v>1051130</v>
      </c>
      <c r="I99" s="49" t="s">
        <v>302</v>
      </c>
      <c r="J99" s="45">
        <v>31000</v>
      </c>
      <c r="K99" s="45">
        <v>4.31</v>
      </c>
      <c r="L99" s="45">
        <v>31000</v>
      </c>
      <c r="M99" s="45">
        <v>133610</v>
      </c>
      <c r="N99" s="47" t="s">
        <v>71</v>
      </c>
      <c r="O99" s="47">
        <v>46255</v>
      </c>
      <c r="P99" s="47"/>
      <c r="Q99" s="47"/>
      <c r="R99" s="47"/>
      <c r="S99" s="47"/>
      <c r="T99" s="31">
        <f ca="1" t="shared" si="30"/>
        <v>7</v>
      </c>
      <c r="XEV99" s="56"/>
      <c r="XEW99" s="57"/>
      <c r="XEX99" s="58"/>
      <c r="XEY99" s="58"/>
      <c r="XEZ99" s="59"/>
      <c r="XFA99" s="45"/>
      <c r="XFB99" s="46"/>
      <c r="XFC99" s="47"/>
      <c r="XFD99" s="47"/>
    </row>
    <row r="100" s="1" customFormat="1" ht="14.1" customHeight="1" spans="1:25 16372:16384">
      <c r="A100" s="45" t="s">
        <v>303</v>
      </c>
      <c r="B100" s="46">
        <v>46255</v>
      </c>
      <c r="C100" s="47">
        <v>4510212564</v>
      </c>
      <c r="D100" s="47">
        <v>46254</v>
      </c>
      <c r="E100" s="48" t="s">
        <v>49</v>
      </c>
      <c r="F100" s="41" t="s">
        <v>69</v>
      </c>
      <c r="G100" s="45" t="s">
        <v>30</v>
      </c>
      <c r="H100" s="49">
        <v>1229366</v>
      </c>
      <c r="I100" s="49" t="s">
        <v>304</v>
      </c>
      <c r="J100" s="45">
        <v>5500</v>
      </c>
      <c r="K100" s="45">
        <v>3.37456</v>
      </c>
      <c r="L100" s="45">
        <v>5500</v>
      </c>
      <c r="M100" s="45">
        <v>18560.08</v>
      </c>
      <c r="N100" s="47" t="s">
        <v>79</v>
      </c>
      <c r="O100" s="47">
        <v>46258</v>
      </c>
      <c r="P100" s="47">
        <v>46259</v>
      </c>
      <c r="Q100" s="47"/>
      <c r="R100" s="3"/>
      <c r="T100" s="31">
        <f ca="1" t="shared" si="30"/>
        <v>6</v>
      </c>
      <c r="XEV100" s="56"/>
      <c r="XEW100" s="57"/>
      <c r="XEX100" s="58"/>
      <c r="XEY100" s="58"/>
      <c r="XEZ100" s="59"/>
      <c r="XFA100" s="45"/>
      <c r="XFB100" s="46"/>
      <c r="XFC100" s="47"/>
      <c r="XFD100" s="47"/>
    </row>
    <row r="101" s="1" customFormat="1" ht="14.1" customHeight="1" spans="1:25 16372:16384">
      <c r="A101" s="45" t="s">
        <v>305</v>
      </c>
      <c r="B101" s="46">
        <v>46255</v>
      </c>
      <c r="C101" s="47">
        <v>9500228184</v>
      </c>
      <c r="D101" s="47">
        <v>46251</v>
      </c>
      <c r="E101" s="48" t="s">
        <v>73</v>
      </c>
      <c r="F101" s="41" t="s">
        <v>74</v>
      </c>
      <c r="G101" s="45" t="s">
        <v>30</v>
      </c>
      <c r="H101" s="49">
        <v>2094162</v>
      </c>
      <c r="I101" s="49" t="s">
        <v>306</v>
      </c>
      <c r="J101" s="45">
        <v>85000</v>
      </c>
      <c r="K101" s="45">
        <v>2.45</v>
      </c>
      <c r="L101" s="45">
        <v>85000</v>
      </c>
      <c r="M101" s="45">
        <v>208250</v>
      </c>
      <c r="N101" s="47" t="s">
        <v>79</v>
      </c>
      <c r="O101" s="47">
        <v>46258</v>
      </c>
      <c r="P101" s="47">
        <v>46259</v>
      </c>
      <c r="Q101" s="47"/>
      <c r="R101" s="3"/>
      <c r="T101" s="31">
        <f ca="1" t="shared" si="30"/>
        <v>6</v>
      </c>
      <c r="XEV101" s="56"/>
      <c r="XEW101" s="57"/>
      <c r="XEX101" s="58"/>
      <c r="XEY101" s="58"/>
      <c r="XEZ101" s="59"/>
      <c r="XFA101" s="45"/>
      <c r="XFB101" s="46"/>
      <c r="XFC101" s="47"/>
      <c r="XFD101" s="47"/>
    </row>
    <row r="102" s="1" customFormat="1" ht="14.1" customHeight="1" spans="1:25 16372:16384">
      <c r="A102" s="45" t="s">
        <v>307</v>
      </c>
      <c r="B102" s="46">
        <v>46255</v>
      </c>
      <c r="C102" s="47">
        <v>9500228184</v>
      </c>
      <c r="D102" s="47">
        <v>46251</v>
      </c>
      <c r="E102" s="48" t="s">
        <v>73</v>
      </c>
      <c r="F102" s="41" t="s">
        <v>74</v>
      </c>
      <c r="G102" s="45" t="s">
        <v>30</v>
      </c>
      <c r="H102" s="49">
        <v>2094165</v>
      </c>
      <c r="I102" s="49" t="s">
        <v>308</v>
      </c>
      <c r="J102" s="45">
        <v>115000</v>
      </c>
      <c r="K102" s="45">
        <v>2.35</v>
      </c>
      <c r="L102" s="45">
        <v>115000</v>
      </c>
      <c r="M102" s="45">
        <v>270250</v>
      </c>
      <c r="N102" s="47" t="s">
        <v>71</v>
      </c>
      <c r="O102" s="47">
        <v>46258</v>
      </c>
      <c r="P102" s="47"/>
      <c r="Q102" s="47"/>
      <c r="R102" s="3"/>
      <c r="T102" s="31">
        <f ca="1" t="shared" si="30"/>
        <v>6</v>
      </c>
      <c r="XEV102" s="56"/>
      <c r="XEW102" s="57"/>
      <c r="XEX102" s="58"/>
      <c r="XEY102" s="58"/>
      <c r="XEZ102" s="59"/>
      <c r="XFA102" s="45"/>
      <c r="XFB102" s="46"/>
      <c r="XFC102" s="47"/>
      <c r="XFD102" s="47"/>
    </row>
    <row r="103" s="1" customFormat="1" ht="14.1" customHeight="1" spans="1:25 16372:16384">
      <c r="A103" s="45" t="s">
        <v>309</v>
      </c>
      <c r="B103" s="46">
        <v>46255</v>
      </c>
      <c r="C103" s="47">
        <v>9500228291</v>
      </c>
      <c r="D103" s="47">
        <v>46252</v>
      </c>
      <c r="E103" s="48" t="s">
        <v>189</v>
      </c>
      <c r="F103" s="41" t="s">
        <v>310</v>
      </c>
      <c r="G103" s="45" t="s">
        <v>30</v>
      </c>
      <c r="H103" s="49">
        <v>2062322</v>
      </c>
      <c r="I103" s="49" t="s">
        <v>311</v>
      </c>
      <c r="J103" s="45">
        <v>2000</v>
      </c>
      <c r="K103" s="45">
        <v>7.3</v>
      </c>
      <c r="L103" s="45">
        <v>2000</v>
      </c>
      <c r="M103" s="45">
        <v>14600</v>
      </c>
      <c r="N103" s="47" t="s">
        <v>79</v>
      </c>
      <c r="O103" s="47">
        <v>46258</v>
      </c>
      <c r="P103" s="47">
        <v>46259</v>
      </c>
      <c r="Q103" s="47"/>
      <c r="R103" s="3"/>
      <c r="T103" s="31">
        <f ca="1" t="shared" si="30"/>
        <v>6</v>
      </c>
      <c r="XEV103" s="56"/>
      <c r="XEW103" s="57"/>
      <c r="XEX103" s="58"/>
      <c r="XEY103" s="58"/>
      <c r="XEZ103" s="59"/>
      <c r="XFA103" s="45"/>
      <c r="XFB103" s="46"/>
      <c r="XFC103" s="47"/>
      <c r="XFD103" s="47"/>
    </row>
    <row r="104" s="1" customFormat="1" ht="14.1" customHeight="1" spans="1:25 16372:16384">
      <c r="A104" s="45" t="s">
        <v>312</v>
      </c>
      <c r="B104" s="46">
        <v>46255</v>
      </c>
      <c r="C104" s="47" t="s">
        <v>27</v>
      </c>
      <c r="D104" s="47">
        <v>46252</v>
      </c>
      <c r="E104" s="48" t="s">
        <v>189</v>
      </c>
      <c r="F104" s="60" t="s">
        <v>310</v>
      </c>
      <c r="G104" s="45" t="s">
        <v>30</v>
      </c>
      <c r="H104" s="49">
        <v>2058434</v>
      </c>
      <c r="I104" s="49" t="s">
        <v>313</v>
      </c>
      <c r="J104" s="45">
        <v>7000</v>
      </c>
      <c r="K104" s="45">
        <v>4</v>
      </c>
      <c r="L104" s="45">
        <v>7000</v>
      </c>
      <c r="M104" s="45">
        <v>28000</v>
      </c>
      <c r="N104" s="47" t="s">
        <v>79</v>
      </c>
      <c r="O104" s="47">
        <v>46258</v>
      </c>
      <c r="P104" s="47">
        <v>46259</v>
      </c>
      <c r="Q104" s="47"/>
      <c r="R104" s="3"/>
      <c r="T104" s="31">
        <f ca="1" t="shared" si="30"/>
        <v>6</v>
      </c>
      <c r="XEV104" s="56"/>
      <c r="XEW104" s="57"/>
      <c r="XEX104" s="58"/>
      <c r="XEY104" s="58"/>
      <c r="XEZ104" s="59"/>
      <c r="XFA104" s="45"/>
      <c r="XFB104" s="46"/>
      <c r="XFC104" s="47"/>
      <c r="XFD104" s="47"/>
    </row>
    <row r="105" s="1" customFormat="1" ht="14.1" customHeight="1" spans="1:25 16372:16384">
      <c r="A105" s="45" t="s">
        <v>314</v>
      </c>
      <c r="B105" s="46">
        <v>46259</v>
      </c>
      <c r="C105" s="47">
        <v>9500229132</v>
      </c>
      <c r="D105" s="47">
        <v>46254</v>
      </c>
      <c r="E105" s="48" t="s">
        <v>189</v>
      </c>
      <c r="F105" s="41" t="s">
        <v>190</v>
      </c>
      <c r="G105" s="45" t="s">
        <v>30</v>
      </c>
      <c r="H105" s="49">
        <v>2074397</v>
      </c>
      <c r="I105" s="49" t="s">
        <v>315</v>
      </c>
      <c r="J105" s="45">
        <v>3000</v>
      </c>
      <c r="K105" s="45">
        <v>6.95</v>
      </c>
      <c r="L105" s="45">
        <v>3000</v>
      </c>
      <c r="M105" s="45">
        <v>20850</v>
      </c>
      <c r="N105" s="47" t="s">
        <v>71</v>
      </c>
      <c r="O105" s="47">
        <v>46261</v>
      </c>
      <c r="P105" s="47"/>
      <c r="Q105" s="47"/>
      <c r="R105" s="31"/>
      <c r="T105" s="31">
        <f ca="1" t="shared" si="30"/>
        <v>2</v>
      </c>
      <c r="XET105" s="56"/>
      <c r="XEU105" s="57"/>
      <c r="XEV105" s="58"/>
      <c r="XEW105" s="58"/>
      <c r="XEX105" s="59"/>
      <c r="XEY105" s="45"/>
      <c r="XEZ105" s="46"/>
      <c r="XFA105" s="47"/>
      <c r="XFB105" s="47"/>
      <c r="XFC105" s="45"/>
      <c r="XFD105" s="46"/>
    </row>
    <row r="106" s="1" customFormat="1" ht="14.1" customHeight="1" spans="1:25 16372:16384">
      <c r="A106" s="45" t="s">
        <v>316</v>
      </c>
      <c r="B106" s="46">
        <v>46259</v>
      </c>
      <c r="C106" s="47">
        <v>9500229386</v>
      </c>
      <c r="D106" s="47">
        <v>46256</v>
      </c>
      <c r="E106" s="48" t="s">
        <v>73</v>
      </c>
      <c r="F106" s="41" t="s">
        <v>74</v>
      </c>
      <c r="G106" s="45" t="s">
        <v>30</v>
      </c>
      <c r="H106" s="49">
        <v>2094118</v>
      </c>
      <c r="I106" s="49" t="s">
        <v>317</v>
      </c>
      <c r="J106" s="45">
        <v>340000</v>
      </c>
      <c r="K106" s="45">
        <v>1.5</v>
      </c>
      <c r="L106" s="45">
        <v>340000</v>
      </c>
      <c r="M106" s="45">
        <v>510000</v>
      </c>
      <c r="N106" s="47" t="s">
        <v>71</v>
      </c>
      <c r="O106" s="47">
        <v>46261</v>
      </c>
      <c r="P106" s="47"/>
      <c r="Q106" s="47"/>
      <c r="R106" s="31"/>
      <c r="T106" s="31">
        <f ca="1" t="shared" si="30"/>
        <v>2</v>
      </c>
      <c r="XET106" s="56"/>
      <c r="XEU106" s="57"/>
      <c r="XEV106" s="58"/>
      <c r="XEW106" s="58"/>
      <c r="XEX106" s="59"/>
      <c r="XEY106" s="45"/>
      <c r="XEZ106" s="46"/>
      <c r="XFA106" s="47"/>
      <c r="XFB106" s="47"/>
      <c r="XFC106" s="45"/>
      <c r="XFD106" s="46"/>
    </row>
    <row r="107" s="1" customFormat="1" ht="14.1" customHeight="1" spans="1:25 16372:16384">
      <c r="A107" s="45" t="s">
        <v>318</v>
      </c>
      <c r="B107" s="46">
        <v>46259</v>
      </c>
      <c r="C107" s="47" t="s">
        <v>319</v>
      </c>
      <c r="D107" s="47" t="s">
        <v>320</v>
      </c>
      <c r="E107" s="48" t="s">
        <v>193</v>
      </c>
      <c r="F107" s="41" t="s">
        <v>223</v>
      </c>
      <c r="G107" s="45" t="s">
        <v>35</v>
      </c>
      <c r="H107" s="49" t="s">
        <v>321</v>
      </c>
      <c r="I107" s="49" t="s">
        <v>322</v>
      </c>
      <c r="J107" s="45">
        <v>15000</v>
      </c>
      <c r="K107" s="45">
        <v>3.9</v>
      </c>
      <c r="L107" s="45">
        <v>15000</v>
      </c>
      <c r="M107" s="45">
        <v>58500</v>
      </c>
      <c r="N107" s="47" t="s">
        <v>71</v>
      </c>
      <c r="O107" s="47">
        <v>46261</v>
      </c>
      <c r="P107" s="47"/>
      <c r="Q107" s="47"/>
      <c r="R107" s="31"/>
      <c r="T107" s="31">
        <f ca="1" t="shared" si="30"/>
        <v>2</v>
      </c>
      <c r="XET107" s="56"/>
      <c r="XEU107" s="57"/>
      <c r="XEV107" s="58"/>
      <c r="XEW107" s="58"/>
      <c r="XEX107" s="59"/>
      <c r="XEY107" s="45"/>
      <c r="XEZ107" s="46"/>
      <c r="XFA107" s="47"/>
      <c r="XFB107" s="47"/>
      <c r="XFC107" s="45"/>
      <c r="XFD107" s="46"/>
    </row>
    <row r="108" s="1" customFormat="1" ht="14.1" customHeight="1" spans="1:25 16372:16384">
      <c r="A108" s="45" t="s">
        <v>323</v>
      </c>
      <c r="B108" s="46">
        <v>46259</v>
      </c>
      <c r="C108" s="47">
        <v>8110001692</v>
      </c>
      <c r="D108" s="47">
        <v>46258</v>
      </c>
      <c r="E108" s="48" t="s">
        <v>235</v>
      </c>
      <c r="F108" s="41" t="s">
        <v>236</v>
      </c>
      <c r="G108" s="45" t="s">
        <v>30</v>
      </c>
      <c r="H108" s="49">
        <v>1050730</v>
      </c>
      <c r="I108" s="49" t="s">
        <v>324</v>
      </c>
      <c r="J108" s="45">
        <v>48000</v>
      </c>
      <c r="K108" s="45">
        <v>2.02</v>
      </c>
      <c r="L108" s="45">
        <v>48000</v>
      </c>
      <c r="M108" s="45">
        <v>96960</v>
      </c>
      <c r="N108" s="47" t="s">
        <v>71</v>
      </c>
      <c r="O108" s="47">
        <v>46261</v>
      </c>
      <c r="P108" s="47"/>
      <c r="Q108" s="47"/>
      <c r="R108" s="31"/>
      <c r="T108" s="31">
        <f ca="1" t="shared" si="30"/>
        <v>2</v>
      </c>
      <c r="XET108" s="56"/>
      <c r="XEU108" s="57"/>
      <c r="XEV108" s="58"/>
      <c r="XEW108" s="58"/>
      <c r="XEX108" s="59"/>
      <c r="XEY108" s="45"/>
      <c r="XEZ108" s="46"/>
      <c r="XFA108" s="47"/>
      <c r="XFB108" s="47"/>
      <c r="XFC108" s="45"/>
      <c r="XFD108" s="46"/>
    </row>
    <row r="109" s="1" customFormat="1" ht="14.1" customHeight="1" spans="1:25 16372:16384">
      <c r="A109" s="45" t="s">
        <v>325</v>
      </c>
      <c r="B109" s="46">
        <v>46259</v>
      </c>
      <c r="C109" s="47">
        <v>8110001692</v>
      </c>
      <c r="D109" s="47">
        <v>46258</v>
      </c>
      <c r="E109" s="48" t="s">
        <v>235</v>
      </c>
      <c r="F109" s="41" t="s">
        <v>236</v>
      </c>
      <c r="G109" s="45" t="s">
        <v>30</v>
      </c>
      <c r="H109" s="49">
        <v>1050204</v>
      </c>
      <c r="I109" s="49" t="s">
        <v>326</v>
      </c>
      <c r="J109" s="45">
        <v>130000</v>
      </c>
      <c r="K109" s="45">
        <v>1.58</v>
      </c>
      <c r="L109" s="45">
        <v>130000</v>
      </c>
      <c r="M109" s="45">
        <v>205400</v>
      </c>
      <c r="N109" s="47" t="s">
        <v>71</v>
      </c>
      <c r="O109" s="47">
        <v>46261</v>
      </c>
      <c r="P109" s="47"/>
      <c r="Q109" s="47"/>
      <c r="R109" s="31"/>
      <c r="T109" s="31">
        <f ca="1" t="shared" si="30"/>
        <v>2</v>
      </c>
      <c r="XET109" s="56"/>
      <c r="XEU109" s="57"/>
      <c r="XEV109" s="58"/>
      <c r="XEW109" s="58"/>
      <c r="XEX109" s="59"/>
      <c r="XEY109" s="45"/>
      <c r="XEZ109" s="46"/>
      <c r="XFA109" s="47"/>
      <c r="XFB109" s="47"/>
      <c r="XFC109" s="45"/>
      <c r="XFD109" s="46"/>
    </row>
    <row r="110" s="1" customFormat="1" ht="14.1" customHeight="1" spans="1:25 16372:16384">
      <c r="A110" s="45" t="s">
        <v>327</v>
      </c>
      <c r="B110" s="46">
        <v>46259</v>
      </c>
      <c r="C110" s="47">
        <v>9500229040</v>
      </c>
      <c r="D110" s="47">
        <v>46254</v>
      </c>
      <c r="E110" s="48" t="s">
        <v>189</v>
      </c>
      <c r="F110" s="41" t="s">
        <v>310</v>
      </c>
      <c r="G110" s="45" t="s">
        <v>30</v>
      </c>
      <c r="H110" s="49">
        <v>2077975</v>
      </c>
      <c r="I110" s="49" t="s">
        <v>328</v>
      </c>
      <c r="J110" s="45">
        <v>22000</v>
      </c>
      <c r="K110" s="45">
        <v>2.65</v>
      </c>
      <c r="L110" s="45">
        <v>22000</v>
      </c>
      <c r="M110" s="45">
        <v>58300</v>
      </c>
      <c r="N110" s="47" t="s">
        <v>71</v>
      </c>
      <c r="O110" s="47">
        <v>46261</v>
      </c>
      <c r="P110" s="47"/>
      <c r="Q110" s="47"/>
      <c r="R110" s="31"/>
      <c r="T110" s="31">
        <f ca="1" t="shared" si="30"/>
        <v>2</v>
      </c>
      <c r="XET110" s="56"/>
      <c r="XEU110" s="57"/>
      <c r="XEV110" s="58"/>
      <c r="XEW110" s="58"/>
      <c r="XEX110" s="59"/>
      <c r="XEY110" s="45"/>
      <c r="XEZ110" s="46"/>
      <c r="XFA110" s="47"/>
      <c r="XFB110" s="47"/>
      <c r="XFC110" s="45"/>
      <c r="XFD110" s="46"/>
    </row>
    <row r="111" s="1" customFormat="1" ht="14.1" customHeight="1" spans="1:25 16372:16384">
      <c r="A111" s="45" t="s">
        <v>329</v>
      </c>
      <c r="B111" s="46">
        <v>46259</v>
      </c>
      <c r="C111" s="47">
        <v>4510017617</v>
      </c>
      <c r="D111" s="47">
        <v>46254</v>
      </c>
      <c r="E111" s="48" t="s">
        <v>277</v>
      </c>
      <c r="F111" s="41" t="s">
        <v>330</v>
      </c>
      <c r="G111" s="45" t="s">
        <v>35</v>
      </c>
      <c r="H111" s="49">
        <v>4200353</v>
      </c>
      <c r="I111" s="49" t="s">
        <v>331</v>
      </c>
      <c r="J111" s="45">
        <v>6300</v>
      </c>
      <c r="K111" s="45">
        <v>2.98</v>
      </c>
      <c r="L111" s="45">
        <v>6300</v>
      </c>
      <c r="M111" s="45">
        <v>18774</v>
      </c>
      <c r="N111" s="47" t="s">
        <v>263</v>
      </c>
      <c r="O111" s="47"/>
      <c r="P111" s="47"/>
      <c r="Q111" s="47"/>
      <c r="R111" s="31"/>
      <c r="T111" s="31">
        <f ca="1" t="shared" si="30"/>
        <v>2</v>
      </c>
      <c r="XET111" s="56"/>
      <c r="XEU111" s="57"/>
      <c r="XEV111" s="58"/>
      <c r="XEW111" s="58"/>
      <c r="XEX111" s="59"/>
      <c r="XEY111" s="45"/>
      <c r="XEZ111" s="46"/>
      <c r="XFA111" s="47"/>
      <c r="XFB111" s="47"/>
      <c r="XFC111" s="45"/>
      <c r="XFD111" s="46"/>
    </row>
    <row r="112" s="1" customFormat="1" ht="14.1" customHeight="1" spans="1:25 16372:16384">
      <c r="A112" s="45" t="s">
        <v>332</v>
      </c>
      <c r="B112" s="46">
        <v>46260</v>
      </c>
      <c r="C112" s="47">
        <v>4300011676</v>
      </c>
      <c r="D112" s="47">
        <v>46252</v>
      </c>
      <c r="E112" s="48" t="s">
        <v>58</v>
      </c>
      <c r="F112" s="41" t="s">
        <v>59</v>
      </c>
      <c r="G112" s="45" t="s">
        <v>35</v>
      </c>
      <c r="H112" s="49" t="s">
        <v>333</v>
      </c>
      <c r="I112" s="49" t="s">
        <v>334</v>
      </c>
      <c r="J112" s="45">
        <v>12000</v>
      </c>
      <c r="K112" s="45">
        <v>7.22</v>
      </c>
      <c r="L112" s="45">
        <v>12000</v>
      </c>
      <c r="M112" s="45">
        <v>86640</v>
      </c>
      <c r="N112" s="47" t="s">
        <v>263</v>
      </c>
      <c r="O112" s="47"/>
      <c r="P112" s="31"/>
      <c r="R112" s="31"/>
      <c r="T112" s="31">
        <f ca="1" t="shared" si="30"/>
        <v>1</v>
      </c>
      <c r="W112" s="1">
        <v>3</v>
      </c>
      <c r="X112" s="1">
        <v>4</v>
      </c>
      <c r="Y112" s="1">
        <v>3</v>
      </c>
      <c r="XER112" s="56"/>
      <c r="XES112" s="57"/>
      <c r="XET112" s="58"/>
      <c r="XEU112" s="58"/>
      <c r="XEV112" s="59"/>
      <c r="XEW112" s="45"/>
      <c r="XEX112" s="46"/>
      <c r="XEY112" s="47"/>
      <c r="XEZ112" s="47"/>
      <c r="XFA112" s="45"/>
      <c r="XFB112" s="46"/>
      <c r="XFC112" s="45"/>
      <c r="XFD112" s="46"/>
    </row>
    <row r="113" s="1" customFormat="1" ht="14.1" customHeight="1" spans="1:20 16372:16384">
      <c r="A113" s="45" t="s">
        <v>335</v>
      </c>
      <c r="B113" s="46">
        <v>46260</v>
      </c>
      <c r="C113" s="47">
        <v>4300011676</v>
      </c>
      <c r="D113" s="47">
        <v>46252</v>
      </c>
      <c r="E113" s="48" t="s">
        <v>58</v>
      </c>
      <c r="F113" s="41" t="s">
        <v>59</v>
      </c>
      <c r="G113" s="45" t="s">
        <v>35</v>
      </c>
      <c r="H113" s="49" t="s">
        <v>336</v>
      </c>
      <c r="I113" s="49" t="s">
        <v>337</v>
      </c>
      <c r="J113" s="45">
        <v>11000</v>
      </c>
      <c r="K113" s="45">
        <v>4.65</v>
      </c>
      <c r="L113" s="45">
        <v>11000</v>
      </c>
      <c r="M113" s="45">
        <v>51150</v>
      </c>
      <c r="N113" s="47" t="s">
        <v>263</v>
      </c>
      <c r="O113" s="47"/>
      <c r="P113" s="31"/>
      <c r="R113" s="31"/>
      <c r="T113" s="31">
        <f ca="1" t="shared" si="30"/>
        <v>1</v>
      </c>
      <c r="XER113" s="56"/>
      <c r="XES113" s="57"/>
      <c r="XET113" s="58"/>
      <c r="XEU113" s="58"/>
      <c r="XEV113" s="59"/>
      <c r="XEW113" s="45"/>
      <c r="XEX113" s="46"/>
      <c r="XEY113" s="47"/>
      <c r="XEZ113" s="47"/>
      <c r="XFA113" s="45"/>
      <c r="XFB113" s="46"/>
      <c r="XFC113" s="45"/>
      <c r="XFD113" s="46"/>
    </row>
    <row r="1048299" s="3" customFormat="1" customHeight="1" spans="3:22">
      <c r="C1048299" s="5"/>
      <c r="D1048299" s="5"/>
      <c r="F1048299" s="6"/>
      <c r="J1048299" s="5"/>
    </row>
    <row r="1048300" s="3" customFormat="1" customHeight="1" spans="3:22">
      <c r="C1048300" s="5"/>
      <c r="D1048300" s="5"/>
      <c r="F1048300" s="6"/>
      <c r="J1048300" s="5"/>
    </row>
    <row r="1048301" s="3" customFormat="1" customHeight="1" spans="3:22">
      <c r="C1048301" s="5"/>
      <c r="D1048301" s="5"/>
      <c r="F1048301" s="6"/>
      <c r="J1048301" s="5"/>
      <c r="V1048301" s="19"/>
    </row>
    <row r="1048302" s="3" customFormat="1" customHeight="1" spans="3:22">
      <c r="C1048302" s="5"/>
      <c r="D1048302" s="5"/>
      <c r="F1048302" s="6"/>
      <c r="J1048302" s="5"/>
      <c r="V1048302" s="24"/>
    </row>
    <row r="1048303" s="3" customFormat="1" customHeight="1" spans="3:22">
      <c r="C1048303" s="5"/>
      <c r="D1048303" s="5"/>
      <c r="F1048303" s="6"/>
      <c r="J1048303" s="5"/>
      <c r="V1048303" s="24"/>
    </row>
    <row r="1048304" s="3" customFormat="1" customHeight="1" spans="3:22">
      <c r="C1048304" s="5"/>
      <c r="D1048304" s="5"/>
      <c r="F1048304" s="6"/>
      <c r="J1048304" s="5"/>
      <c r="V1048304" s="24"/>
    </row>
    <row r="1048305" s="3" customFormat="1" customHeight="1" spans="3:22">
      <c r="C1048305" s="5"/>
      <c r="D1048305" s="5"/>
      <c r="F1048305" s="6"/>
      <c r="J1048305" s="5"/>
      <c r="V1048305" s="45"/>
    </row>
    <row r="1048306" s="3" customFormat="1" customHeight="1" spans="3:22">
      <c r="C1048306" s="5"/>
      <c r="D1048306" s="5"/>
      <c r="F1048306" s="6"/>
      <c r="J1048306" s="5"/>
      <c r="V1048306" s="43"/>
    </row>
    <row r="1048307" s="3" customFormat="1" customHeight="1" spans="3:22">
      <c r="C1048307" s="5"/>
      <c r="D1048307" s="5"/>
      <c r="F1048307" s="6"/>
      <c r="J1048307" s="5"/>
      <c r="V1048307" s="45"/>
    </row>
    <row r="1048308" s="3" customFormat="1" customHeight="1" spans="3:22">
      <c r="C1048308" s="5"/>
      <c r="D1048308" s="5"/>
      <c r="F1048308" s="6"/>
      <c r="J1048308" s="5"/>
      <c r="V1048308" s="45"/>
    </row>
    <row r="1048309" s="3" customFormat="1" customHeight="1" spans="3:22">
      <c r="C1048309" s="5"/>
      <c r="D1048309" s="5"/>
      <c r="F1048309" s="6"/>
      <c r="J1048309" s="5"/>
      <c r="V1048309" s="45"/>
    </row>
    <row r="1048310" s="3" customFormat="1" customHeight="1" spans="3:22">
      <c r="C1048310" s="5"/>
      <c r="D1048310" s="5"/>
      <c r="F1048310" s="6"/>
      <c r="J1048310" s="5"/>
      <c r="V1048310" s="45"/>
    </row>
    <row r="1048311" s="3" customFormat="1" customHeight="1" spans="3:22">
      <c r="C1048311" s="5"/>
      <c r="D1048311" s="5"/>
      <c r="F1048311" s="6"/>
      <c r="J1048311" s="5"/>
      <c r="V1048311" s="45"/>
    </row>
    <row r="1048312" s="3" customFormat="1" customHeight="1" spans="3:22">
      <c r="C1048312" s="5"/>
      <c r="D1048312" s="5"/>
      <c r="F1048312" s="6"/>
      <c r="J1048312" s="5"/>
      <c r="V1048312" s="45"/>
    </row>
    <row r="1048313" s="3" customFormat="1" customHeight="1" spans="3:22">
      <c r="C1048313" s="5"/>
      <c r="D1048313" s="5"/>
      <c r="F1048313" s="6"/>
      <c r="J1048313" s="5"/>
      <c r="V1048313" s="45"/>
    </row>
    <row r="1048314" s="3" customFormat="1" customHeight="1" spans="3:22">
      <c r="C1048314" s="5"/>
      <c r="D1048314" s="5"/>
      <c r="F1048314" s="6"/>
      <c r="J1048314" s="5"/>
      <c r="V1048314" s="45"/>
    </row>
    <row r="1048315" s="3" customFormat="1" customHeight="1" spans="3:22">
      <c r="C1048315" s="5"/>
      <c r="D1048315" s="5"/>
      <c r="F1048315" s="6"/>
      <c r="J1048315" s="5"/>
      <c r="V1048315" s="45"/>
    </row>
    <row r="1048316" s="3" customFormat="1" customHeight="1" spans="3:22">
      <c r="C1048316" s="5"/>
      <c r="D1048316" s="5"/>
      <c r="F1048316" s="6"/>
      <c r="J1048316" s="5"/>
      <c r="V1048316" s="45"/>
    </row>
    <row r="1048317" s="3" customFormat="1" customHeight="1" spans="3:22">
      <c r="C1048317" s="5"/>
      <c r="D1048317" s="5"/>
      <c r="F1048317" s="6"/>
      <c r="J1048317" s="5"/>
      <c r="V1048317" s="45"/>
    </row>
    <row r="1048318" s="3" customFormat="1" customHeight="1" spans="3:22">
      <c r="C1048318" s="5"/>
      <c r="D1048318" s="5"/>
      <c r="F1048318" s="6"/>
      <c r="J1048318" s="5"/>
      <c r="V1048318" s="45"/>
    </row>
    <row r="1048319" s="3" customFormat="1" customHeight="1" spans="3:22">
      <c r="C1048319" s="5"/>
      <c r="D1048319" s="5"/>
      <c r="F1048319" s="6"/>
      <c r="J1048319" s="5"/>
      <c r="V1048319" s="45"/>
    </row>
    <row r="1048320" s="3" customFormat="1" customHeight="1" spans="3:22">
      <c r="C1048320" s="5"/>
      <c r="D1048320" s="5"/>
      <c r="F1048320" s="6"/>
      <c r="J1048320" s="5"/>
      <c r="V1048320" s="45"/>
    </row>
    <row r="1048321" s="3" customFormat="1" customHeight="1" spans="3:22">
      <c r="C1048321" s="5"/>
      <c r="D1048321" s="5"/>
      <c r="F1048321" s="6"/>
      <c r="J1048321" s="5"/>
      <c r="V1048321" s="45"/>
    </row>
    <row r="1048322" s="3" customFormat="1" customHeight="1" spans="3:22">
      <c r="C1048322" s="5"/>
      <c r="D1048322" s="5"/>
      <c r="F1048322" s="6"/>
      <c r="J1048322" s="5"/>
      <c r="V1048322" s="45"/>
    </row>
    <row r="1048323" s="3" customFormat="1" customHeight="1" spans="3:22">
      <c r="C1048323" s="5"/>
      <c r="D1048323" s="5"/>
      <c r="F1048323" s="6"/>
      <c r="J1048323" s="5"/>
      <c r="V1048323" s="45"/>
    </row>
    <row r="1048324" s="3" customFormat="1" customHeight="1" spans="3:22">
      <c r="C1048324" s="5"/>
      <c r="D1048324" s="5"/>
      <c r="F1048324" s="6"/>
      <c r="J1048324" s="5"/>
      <c r="V1048324" s="45"/>
    </row>
    <row r="1048325" s="3" customFormat="1" customHeight="1" spans="3:22">
      <c r="C1048325" s="5"/>
      <c r="D1048325" s="5"/>
      <c r="F1048325" s="6"/>
      <c r="J1048325" s="5"/>
      <c r="V1048325" s="45"/>
    </row>
    <row r="1048326" s="3" customFormat="1" customHeight="1" spans="3:22">
      <c r="C1048326" s="5"/>
      <c r="D1048326" s="5"/>
      <c r="F1048326" s="6"/>
      <c r="J1048326" s="5"/>
      <c r="V1048326" s="45"/>
    </row>
    <row r="1048327" s="3" customFormat="1" customHeight="1" spans="3:22">
      <c r="C1048327" s="5"/>
      <c r="D1048327" s="5"/>
      <c r="F1048327" s="6"/>
      <c r="J1048327" s="5"/>
      <c r="V1048327" s="45"/>
    </row>
    <row r="1048328" s="3" customFormat="1" customHeight="1" spans="3:22">
      <c r="C1048328" s="5"/>
      <c r="D1048328" s="5"/>
      <c r="F1048328" s="6"/>
      <c r="J1048328" s="5"/>
      <c r="V1048328" s="45"/>
    </row>
    <row r="1048329" s="3" customFormat="1" customHeight="1" spans="3:22">
      <c r="C1048329" s="5"/>
      <c r="D1048329" s="5"/>
      <c r="F1048329" s="6"/>
      <c r="J1048329" s="5"/>
      <c r="V1048329" s="45"/>
    </row>
    <row r="1048330" s="3" customFormat="1" customHeight="1" spans="3:22">
      <c r="C1048330" s="5"/>
      <c r="D1048330" s="5"/>
      <c r="F1048330" s="6"/>
      <c r="J1048330" s="5"/>
      <c r="V1048330" s="45"/>
    </row>
    <row r="1048331" s="3" customFormat="1" customHeight="1" spans="3:22">
      <c r="C1048331" s="5"/>
      <c r="D1048331" s="5"/>
      <c r="F1048331" s="6"/>
      <c r="J1048331" s="5"/>
      <c r="V1048331" s="45"/>
    </row>
    <row r="1048332" s="3" customFormat="1" customHeight="1" spans="3:22">
      <c r="C1048332" s="5"/>
      <c r="D1048332" s="5"/>
      <c r="F1048332" s="6"/>
      <c r="J1048332" s="5"/>
      <c r="V1048332" s="45"/>
    </row>
    <row r="1048333" s="3" customFormat="1" customHeight="1" spans="3:22">
      <c r="C1048333" s="5"/>
      <c r="D1048333" s="5"/>
      <c r="F1048333" s="6"/>
      <c r="J1048333" s="5"/>
      <c r="V1048333" s="45"/>
    </row>
    <row r="1048334" s="3" customFormat="1" customHeight="1" spans="3:22">
      <c r="C1048334" s="5"/>
      <c r="D1048334" s="5"/>
      <c r="F1048334" s="6"/>
      <c r="J1048334" s="5"/>
      <c r="V1048334" s="45"/>
    </row>
    <row r="1048335" s="3" customFormat="1" customHeight="1" spans="3:22">
      <c r="C1048335" s="5"/>
      <c r="D1048335" s="5"/>
      <c r="F1048335" s="6"/>
      <c r="J1048335" s="5"/>
      <c r="V1048335" s="45"/>
    </row>
    <row r="1048336" s="3" customFormat="1" customHeight="1" spans="3:22">
      <c r="C1048336" s="5"/>
      <c r="D1048336" s="5"/>
      <c r="F1048336" s="6"/>
      <c r="J1048336" s="5"/>
      <c r="V1048336" s="45"/>
    </row>
    <row r="1048337" s="3" customFormat="1" customHeight="1" spans="3:22">
      <c r="C1048337" s="5"/>
      <c r="D1048337" s="5"/>
      <c r="F1048337" s="6"/>
      <c r="J1048337" s="5"/>
      <c r="V1048337" s="45"/>
    </row>
    <row r="1048338" s="3" customFormat="1" customHeight="1" spans="3:22">
      <c r="C1048338" s="5"/>
      <c r="D1048338" s="5"/>
      <c r="F1048338" s="6"/>
      <c r="J1048338" s="5"/>
      <c r="V1048338" s="45"/>
    </row>
    <row r="1048339" s="3" customFormat="1" customHeight="1" spans="3:22">
      <c r="C1048339" s="5"/>
      <c r="D1048339" s="5"/>
      <c r="F1048339" s="6"/>
      <c r="J1048339" s="5"/>
    </row>
    <row r="1048340" s="3" customFormat="1" customHeight="1" spans="3:22">
      <c r="C1048340" s="5"/>
      <c r="D1048340" s="5"/>
      <c r="F1048340" s="6"/>
      <c r="J1048340" s="5"/>
    </row>
    <row r="1048341" s="3" customFormat="1" customHeight="1" spans="3:22">
      <c r="C1048341" s="5"/>
      <c r="D1048341" s="5"/>
      <c r="F1048341" s="6"/>
      <c r="J1048341" s="5"/>
    </row>
    <row r="1048342" s="3" customFormat="1" customHeight="1" spans="3:22">
      <c r="C1048342" s="5"/>
      <c r="D1048342" s="5"/>
      <c r="F1048342" s="6"/>
      <c r="J1048342" s="5"/>
    </row>
    <row r="1048343" s="3" customFormat="1" customHeight="1" spans="3:22">
      <c r="C1048343" s="5"/>
      <c r="D1048343" s="5"/>
      <c r="F1048343" s="6"/>
      <c r="J1048343" s="5"/>
    </row>
    <row r="1048344" s="3" customFormat="1" customHeight="1" spans="3:22">
      <c r="C1048344" s="5"/>
      <c r="D1048344" s="5"/>
      <c r="F1048344" s="6"/>
      <c r="J1048344" s="5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  <row r="1048387" s="3" customFormat="1" customHeight="1" spans="3:10">
      <c r="C1048387" s="5"/>
      <c r="D1048387" s="5"/>
      <c r="F1048387" s="6"/>
      <c r="J1048387" s="5"/>
    </row>
  </sheetData>
  <autoFilter xmlns:etc="http://www.wps.cn/officeDocument/2017/etCustomData" ref="A3:XFD113" etc:filterBottomFollowUsedRange="0">
    <extLst/>
  </autoFilter>
  <mergeCells count="1">
    <mergeCell ref="G1:I2"/>
  </mergeCells>
  <conditionalFormatting sqref="H3">
    <cfRule type="duplicateValues" dxfId="0" priority="10946"/>
    <cfRule type="duplicateValues" dxfId="0" priority="10945"/>
  </conditionalFormatting>
  <conditionalFormatting sqref="J4">
    <cfRule type="duplicateValues" dxfId="0" priority="10924"/>
    <cfRule type="duplicateValues" dxfId="0" priority="10923"/>
    <cfRule type="duplicateValues" dxfId="0" priority="10922"/>
    <cfRule type="duplicateValues" dxfId="0" priority="10921"/>
    <cfRule type="duplicateValues" dxfId="0" priority="10920"/>
    <cfRule type="duplicateValues" dxfId="0" priority="10919"/>
    <cfRule type="duplicateValues" dxfId="0" priority="10918"/>
    <cfRule type="duplicateValues" dxfId="0" priority="10917"/>
    <cfRule type="duplicateValues" dxfId="0" priority="10916"/>
    <cfRule type="duplicateValues" dxfId="0" priority="10915"/>
    <cfRule type="duplicateValues" dxfId="0" priority="10914"/>
    <cfRule type="duplicateValues" dxfId="0" priority="10913"/>
    <cfRule type="duplicateValues" dxfId="0" priority="10912"/>
    <cfRule type="duplicateValues" dxfId="0" priority="10911"/>
    <cfRule type="duplicateValues" dxfId="0" priority="10910"/>
    <cfRule type="duplicateValues" dxfId="0" priority="10909"/>
    <cfRule type="duplicateValues" dxfId="0" priority="10908"/>
    <cfRule type="duplicateValues" dxfId="0" priority="10907"/>
    <cfRule type="duplicateValues" dxfId="0" priority="10906"/>
    <cfRule type="duplicateValues" dxfId="0" priority="10905"/>
  </conditionalFormatting>
  <conditionalFormatting sqref="N4:O4">
    <cfRule type="duplicateValues" dxfId="0" priority="10842"/>
    <cfRule type="duplicateValues" dxfId="0" priority="10841"/>
    <cfRule type="duplicateValues" dxfId="0" priority="10840"/>
    <cfRule type="duplicateValues" dxfId="0" priority="10839"/>
    <cfRule type="duplicateValues" dxfId="0" priority="10838"/>
    <cfRule type="duplicateValues" dxfId="0" priority="10837"/>
    <cfRule type="duplicateValues" dxfId="0" priority="10836"/>
    <cfRule type="duplicateValues" dxfId="0" priority="10835"/>
    <cfRule type="duplicateValues" dxfId="0" priority="10834"/>
    <cfRule type="duplicateValues" dxfId="0" priority="10833"/>
    <cfRule type="duplicateValues" dxfId="0" priority="10832"/>
    <cfRule type="duplicateValues" dxfId="0" priority="10831"/>
    <cfRule type="duplicateValues" dxfId="0" priority="10830"/>
    <cfRule type="duplicateValues" dxfId="0" priority="10829"/>
    <cfRule type="duplicateValues" dxfId="0" priority="10828"/>
    <cfRule type="duplicateValues" dxfId="0" priority="10827"/>
    <cfRule type="duplicateValues" dxfId="0" priority="10826"/>
    <cfRule type="duplicateValues" dxfId="0" priority="10825"/>
    <cfRule type="duplicateValues" dxfId="0" priority="10824"/>
    <cfRule type="duplicateValues" dxfId="0" priority="10823"/>
  </conditionalFormatting>
  <conditionalFormatting sqref="V4">
    <cfRule type="duplicateValues" dxfId="0" priority="9337"/>
    <cfRule type="duplicateValues" dxfId="0" priority="9335"/>
    <cfRule type="duplicateValues" dxfId="0" priority="9333"/>
    <cfRule type="duplicateValues" dxfId="0" priority="9331"/>
    <cfRule type="duplicateValues" dxfId="0" priority="9329"/>
    <cfRule type="duplicateValues" dxfId="0" priority="9327"/>
    <cfRule type="duplicateValues" dxfId="0" priority="9325"/>
    <cfRule type="duplicateValues" dxfId="0" priority="9323"/>
    <cfRule type="duplicateValues" dxfId="0" priority="9321"/>
    <cfRule type="duplicateValues" dxfId="0" priority="9319"/>
    <cfRule type="duplicateValues" dxfId="0" priority="9317"/>
    <cfRule type="duplicateValues" dxfId="0" priority="9315"/>
    <cfRule type="duplicateValues" dxfId="0" priority="9313"/>
    <cfRule type="duplicateValues" dxfId="0" priority="9311"/>
    <cfRule type="duplicateValues" dxfId="0" priority="9309"/>
    <cfRule type="duplicateValues" dxfId="0" priority="9307"/>
    <cfRule type="duplicateValues" dxfId="0" priority="9305"/>
    <cfRule type="duplicateValues" dxfId="0" priority="9303"/>
    <cfRule type="duplicateValues" dxfId="0" priority="9301"/>
    <cfRule type="duplicateValues" dxfId="0" priority="9299"/>
  </conditionalFormatting>
  <conditionalFormatting sqref="A5">
    <cfRule type="duplicateValues" dxfId="0" priority="10212"/>
  </conditionalFormatting>
  <conditionalFormatting sqref="H5">
    <cfRule type="duplicateValues" dxfId="0" priority="10863"/>
  </conditionalFormatting>
  <conditionalFormatting sqref="J5">
    <cfRule type="duplicateValues" dxfId="0" priority="10883"/>
    <cfRule type="duplicateValues" dxfId="0" priority="10882"/>
    <cfRule type="duplicateValues" dxfId="0" priority="10881"/>
    <cfRule type="duplicateValues" dxfId="0" priority="10880"/>
    <cfRule type="duplicateValues" dxfId="0" priority="10879"/>
    <cfRule type="duplicateValues" dxfId="0" priority="10878"/>
    <cfRule type="duplicateValues" dxfId="0" priority="10877"/>
    <cfRule type="duplicateValues" dxfId="0" priority="10876"/>
    <cfRule type="duplicateValues" dxfId="0" priority="10875"/>
    <cfRule type="duplicateValues" dxfId="0" priority="10874"/>
    <cfRule type="duplicateValues" dxfId="0" priority="10873"/>
    <cfRule type="duplicateValues" dxfId="0" priority="10872"/>
    <cfRule type="duplicateValues" dxfId="0" priority="10871"/>
    <cfRule type="duplicateValues" dxfId="0" priority="10870"/>
    <cfRule type="duplicateValues" dxfId="0" priority="10869"/>
    <cfRule type="duplicateValues" dxfId="0" priority="10868"/>
    <cfRule type="duplicateValues" dxfId="0" priority="10867"/>
    <cfRule type="duplicateValues" dxfId="0" priority="10866"/>
    <cfRule type="duplicateValues" dxfId="0" priority="10865"/>
    <cfRule type="duplicateValues" dxfId="0" priority="10864"/>
  </conditionalFormatting>
  <conditionalFormatting sqref="M5">
    <cfRule type="duplicateValues" dxfId="0" priority="10211"/>
    <cfRule type="duplicateValues" dxfId="0" priority="10210"/>
    <cfRule type="duplicateValues" dxfId="0" priority="10209"/>
    <cfRule type="duplicateValues" dxfId="0" priority="10208"/>
    <cfRule type="duplicateValues" dxfId="0" priority="10207"/>
    <cfRule type="duplicateValues" dxfId="0" priority="10206"/>
    <cfRule type="duplicateValues" dxfId="0" priority="10205"/>
    <cfRule type="duplicateValues" dxfId="0" priority="10204"/>
    <cfRule type="duplicateValues" dxfId="0" priority="10203"/>
    <cfRule type="duplicateValues" dxfId="0" priority="10202"/>
    <cfRule type="duplicateValues" dxfId="0" priority="10201"/>
    <cfRule type="duplicateValues" dxfId="0" priority="10200"/>
    <cfRule type="duplicateValues" dxfId="0" priority="10199"/>
    <cfRule type="duplicateValues" dxfId="0" priority="10198"/>
    <cfRule type="duplicateValues" dxfId="0" priority="10197"/>
    <cfRule type="duplicateValues" dxfId="0" priority="10196"/>
    <cfRule type="duplicateValues" dxfId="0" priority="10195"/>
    <cfRule type="duplicateValues" dxfId="0" priority="10194"/>
    <cfRule type="duplicateValues" dxfId="0" priority="10193"/>
    <cfRule type="duplicateValues" dxfId="0" priority="10192"/>
  </conditionalFormatting>
  <conditionalFormatting sqref="N5:O5">
    <cfRule type="duplicateValues" dxfId="0" priority="10822"/>
    <cfRule type="duplicateValues" dxfId="0" priority="10821"/>
    <cfRule type="duplicateValues" dxfId="0" priority="10820"/>
    <cfRule type="duplicateValues" dxfId="0" priority="10819"/>
    <cfRule type="duplicateValues" dxfId="0" priority="10818"/>
    <cfRule type="duplicateValues" dxfId="0" priority="10817"/>
    <cfRule type="duplicateValues" dxfId="0" priority="10816"/>
    <cfRule type="duplicateValues" dxfId="0" priority="10815"/>
    <cfRule type="duplicateValues" dxfId="0" priority="10814"/>
    <cfRule type="duplicateValues" dxfId="0" priority="10813"/>
    <cfRule type="duplicateValues" dxfId="0" priority="10812"/>
    <cfRule type="duplicateValues" dxfId="0" priority="10811"/>
    <cfRule type="duplicateValues" dxfId="0" priority="10810"/>
    <cfRule type="duplicateValues" dxfId="0" priority="10809"/>
    <cfRule type="duplicateValues" dxfId="0" priority="10808"/>
    <cfRule type="duplicateValues" dxfId="0" priority="10807"/>
    <cfRule type="duplicateValues" dxfId="0" priority="10806"/>
    <cfRule type="duplicateValues" dxfId="0" priority="10805"/>
    <cfRule type="duplicateValues" dxfId="0" priority="10804"/>
    <cfRule type="duplicateValues" dxfId="0" priority="10803"/>
  </conditionalFormatting>
  <conditionalFormatting sqref="Q5:R5">
    <cfRule type="duplicateValues" dxfId="0" priority="10862"/>
    <cfRule type="duplicateValues" dxfId="0" priority="10861"/>
    <cfRule type="duplicateValues" dxfId="0" priority="10860"/>
    <cfRule type="duplicateValues" dxfId="0" priority="10859"/>
    <cfRule type="duplicateValues" dxfId="0" priority="10858"/>
    <cfRule type="duplicateValues" dxfId="0" priority="10857"/>
    <cfRule type="duplicateValues" dxfId="0" priority="10856"/>
    <cfRule type="duplicateValues" dxfId="0" priority="10855"/>
    <cfRule type="duplicateValues" dxfId="0" priority="10854"/>
    <cfRule type="duplicateValues" dxfId="0" priority="10853"/>
    <cfRule type="duplicateValues" dxfId="0" priority="10852"/>
    <cfRule type="duplicateValues" dxfId="0" priority="10851"/>
    <cfRule type="duplicateValues" dxfId="0" priority="10850"/>
    <cfRule type="duplicateValues" dxfId="0" priority="10849"/>
    <cfRule type="duplicateValues" dxfId="0" priority="10848"/>
    <cfRule type="duplicateValues" dxfId="0" priority="10847"/>
    <cfRule type="duplicateValues" dxfId="0" priority="10846"/>
    <cfRule type="duplicateValues" dxfId="0" priority="10845"/>
    <cfRule type="duplicateValues" dxfId="0" priority="10844"/>
    <cfRule type="duplicateValues" dxfId="0" priority="10843"/>
  </conditionalFormatting>
  <conditionalFormatting sqref="A6">
    <cfRule type="duplicateValues" dxfId="0" priority="10354"/>
  </conditionalFormatting>
  <conditionalFormatting sqref="H6"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  <cfRule type="duplicateValues" dxfId="0" priority="10370"/>
    <cfRule type="duplicateValues" dxfId="0" priority="10371"/>
    <cfRule type="duplicateValues" dxfId="0" priority="10372"/>
    <cfRule type="duplicateValues" dxfId="0" priority="10373"/>
    <cfRule type="duplicateValues" dxfId="0" priority="10374"/>
  </conditionalFormatting>
  <conditionalFormatting sqref="J6"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  <cfRule type="duplicateValues" dxfId="0" priority="10352"/>
    <cfRule type="duplicateValues" dxfId="0" priority="10353"/>
  </conditionalFormatting>
  <conditionalFormatting sqref="L6"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</conditionalFormatting>
  <conditionalFormatting sqref="M6"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  <cfRule type="duplicateValues" dxfId="0" priority="10329"/>
    <cfRule type="duplicateValues" dxfId="0" priority="10330"/>
    <cfRule type="duplicateValues" dxfId="0" priority="10331"/>
    <cfRule type="duplicateValues" dxfId="0" priority="10332"/>
    <cfRule type="duplicateValues" dxfId="0" priority="10333"/>
  </conditionalFormatting>
  <conditionalFormatting sqref="A7">
    <cfRule type="duplicateValues" dxfId="0" priority="10151"/>
  </conditionalFormatting>
  <conditionalFormatting sqref="H7">
    <cfRule type="duplicateValues" dxfId="0" priority="10153"/>
    <cfRule type="duplicateValues" dxfId="0" priority="10155"/>
    <cfRule type="duplicateValues" dxfId="0" priority="10157"/>
    <cfRule type="duplicateValues" dxfId="0" priority="10159"/>
    <cfRule type="duplicateValues" dxfId="0" priority="10161"/>
    <cfRule type="duplicateValues" dxfId="0" priority="10163"/>
    <cfRule type="duplicateValues" dxfId="0" priority="10165"/>
    <cfRule type="duplicateValues" dxfId="0" priority="10167"/>
    <cfRule type="duplicateValues" dxfId="0" priority="10169"/>
    <cfRule type="duplicateValues" dxfId="0" priority="10171"/>
    <cfRule type="duplicateValues" dxfId="0" priority="10173"/>
    <cfRule type="duplicateValues" dxfId="0" priority="10175"/>
    <cfRule type="duplicateValues" dxfId="0" priority="10177"/>
    <cfRule type="duplicateValues" dxfId="0" priority="10179"/>
    <cfRule type="duplicateValues" dxfId="0" priority="10181"/>
    <cfRule type="duplicateValues" dxfId="0" priority="10183"/>
    <cfRule type="duplicateValues" dxfId="0" priority="10185"/>
    <cfRule type="duplicateValues" dxfId="0" priority="10187"/>
    <cfRule type="duplicateValues" dxfId="0" priority="10189"/>
    <cfRule type="duplicateValues" dxfId="0" priority="10191"/>
  </conditionalFormatting>
  <conditionalFormatting sqref="J7"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  <cfRule type="duplicateValues" dxfId="0" priority="10147"/>
    <cfRule type="duplicateValues" dxfId="0" priority="10149"/>
  </conditionalFormatting>
  <conditionalFormatting sqref="L7">
    <cfRule type="duplicateValues" dxfId="0" priority="10070"/>
    <cfRule type="duplicateValues" dxfId="0" priority="10071"/>
    <cfRule type="duplicateValues" dxfId="0" priority="10072"/>
    <cfRule type="duplicateValues" dxfId="0" priority="10073"/>
    <cfRule type="duplicateValues" dxfId="0" priority="10074"/>
    <cfRule type="duplicateValues" dxfId="0" priority="10075"/>
    <cfRule type="duplicateValues" dxfId="0" priority="10076"/>
    <cfRule type="duplicateValues" dxfId="0" priority="10077"/>
    <cfRule type="duplicateValues" dxfId="0" priority="10078"/>
    <cfRule type="duplicateValues" dxfId="0" priority="10079"/>
    <cfRule type="duplicateValues" dxfId="0" priority="10080"/>
    <cfRule type="duplicateValues" dxfId="0" priority="10081"/>
    <cfRule type="duplicateValues" dxfId="0" priority="10082"/>
    <cfRule type="duplicateValues" dxfId="0" priority="10083"/>
    <cfRule type="duplicateValues" dxfId="0" priority="10084"/>
    <cfRule type="duplicateValues" dxfId="0" priority="10085"/>
    <cfRule type="duplicateValues" dxfId="0" priority="10086"/>
    <cfRule type="duplicateValues" dxfId="0" priority="10087"/>
    <cfRule type="duplicateValues" dxfId="0" priority="10088"/>
    <cfRule type="duplicateValues" dxfId="0" priority="10089"/>
  </conditionalFormatting>
  <conditionalFormatting sqref="M7">
    <cfRule type="duplicateValues" dxfId="0" priority="10090"/>
    <cfRule type="duplicateValues" dxfId="0" priority="10091"/>
    <cfRule type="duplicateValues" dxfId="0" priority="10092"/>
    <cfRule type="duplicateValues" dxfId="0" priority="10093"/>
    <cfRule type="duplicateValues" dxfId="0" priority="10094"/>
    <cfRule type="duplicateValues" dxfId="0" priority="10095"/>
    <cfRule type="duplicateValues" dxfId="0" priority="10096"/>
    <cfRule type="duplicateValues" dxfId="0" priority="10097"/>
    <cfRule type="duplicateValues" dxfId="0" priority="10098"/>
    <cfRule type="duplicateValues" dxfId="0" priority="10099"/>
    <cfRule type="duplicateValues" dxfId="0" priority="10100"/>
    <cfRule type="duplicateValues" dxfId="0" priority="10101"/>
    <cfRule type="duplicateValues" dxfId="0" priority="10102"/>
    <cfRule type="duplicateValues" dxfId="0" priority="10103"/>
    <cfRule type="duplicateValues" dxfId="0" priority="10104"/>
    <cfRule type="duplicateValues" dxfId="0" priority="10105"/>
    <cfRule type="duplicateValues" dxfId="0" priority="10106"/>
    <cfRule type="duplicateValues" dxfId="0" priority="10107"/>
    <cfRule type="duplicateValues" dxfId="0" priority="10108"/>
    <cfRule type="duplicateValues" dxfId="0" priority="10109"/>
  </conditionalFormatting>
  <conditionalFormatting sqref="A8">
    <cfRule type="duplicateValues" dxfId="0" priority="10029"/>
  </conditionalFormatting>
  <conditionalFormatting sqref="H8"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  <cfRule type="duplicateValues" dxfId="0" priority="10065"/>
    <cfRule type="duplicateValues" dxfId="0" priority="10067"/>
    <cfRule type="duplicateValues" dxfId="0" priority="10069"/>
  </conditionalFormatting>
  <conditionalFormatting sqref="J8"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  <cfRule type="duplicateValues" dxfId="0" priority="10025"/>
    <cfRule type="duplicateValues" dxfId="0" priority="10027"/>
  </conditionalFormatting>
  <conditionalFormatting sqref="L8">
    <cfRule type="duplicateValues" dxfId="0" priority="9909"/>
    <cfRule type="duplicateValues" dxfId="0" priority="9911"/>
    <cfRule type="duplicateValues" dxfId="0" priority="9913"/>
    <cfRule type="duplicateValues" dxfId="0" priority="9915"/>
    <cfRule type="duplicateValues" dxfId="0" priority="9917"/>
    <cfRule type="duplicateValues" dxfId="0" priority="9919"/>
    <cfRule type="duplicateValues" dxfId="0" priority="9921"/>
    <cfRule type="duplicateValues" dxfId="0" priority="9923"/>
    <cfRule type="duplicateValues" dxfId="0" priority="9925"/>
    <cfRule type="duplicateValues" dxfId="0" priority="9927"/>
    <cfRule type="duplicateValues" dxfId="0" priority="9929"/>
    <cfRule type="duplicateValues" dxfId="0" priority="9931"/>
    <cfRule type="duplicateValues" dxfId="0" priority="9933"/>
    <cfRule type="duplicateValues" dxfId="0" priority="9935"/>
    <cfRule type="duplicateValues" dxfId="0" priority="9937"/>
    <cfRule type="duplicateValues" dxfId="0" priority="9939"/>
    <cfRule type="duplicateValues" dxfId="0" priority="9941"/>
    <cfRule type="duplicateValues" dxfId="0" priority="9943"/>
    <cfRule type="duplicateValues" dxfId="0" priority="9945"/>
    <cfRule type="duplicateValues" dxfId="0" priority="9947"/>
  </conditionalFormatting>
  <conditionalFormatting sqref="M8">
    <cfRule type="duplicateValues" dxfId="0" priority="9949"/>
    <cfRule type="duplicateValues" dxfId="0" priority="9951"/>
    <cfRule type="duplicateValues" dxfId="0" priority="9953"/>
    <cfRule type="duplicateValues" dxfId="0" priority="9955"/>
    <cfRule type="duplicateValues" dxfId="0" priority="9957"/>
    <cfRule type="duplicateValues" dxfId="0" priority="9959"/>
    <cfRule type="duplicateValues" dxfId="0" priority="9961"/>
    <cfRule type="duplicateValues" dxfId="0" priority="9963"/>
    <cfRule type="duplicateValues" dxfId="0" priority="9965"/>
    <cfRule type="duplicateValues" dxfId="0" priority="9967"/>
    <cfRule type="duplicateValues" dxfId="0" priority="9969"/>
    <cfRule type="duplicateValues" dxfId="0" priority="9971"/>
    <cfRule type="duplicateValues" dxfId="0" priority="9973"/>
    <cfRule type="duplicateValues" dxfId="0" priority="9975"/>
    <cfRule type="duplicateValues" dxfId="0" priority="9977"/>
    <cfRule type="duplicateValues" dxfId="0" priority="9979"/>
    <cfRule type="duplicateValues" dxfId="0" priority="9981"/>
    <cfRule type="duplicateValues" dxfId="0" priority="9983"/>
    <cfRule type="duplicateValues" dxfId="0" priority="9985"/>
    <cfRule type="duplicateValues" dxfId="0" priority="9987"/>
  </conditionalFormatting>
  <conditionalFormatting sqref="A9">
    <cfRule type="duplicateValues" dxfId="0" priority="10028"/>
  </conditionalFormatting>
  <conditionalFormatting sqref="H9"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  <cfRule type="duplicateValues" dxfId="0" priority="10066"/>
    <cfRule type="duplicateValues" dxfId="0" priority="10068"/>
  </conditionalFormatting>
  <conditionalFormatting sqref="J9"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  <cfRule type="duplicateValues" dxfId="0" priority="10026"/>
  </conditionalFormatting>
  <conditionalFormatting sqref="L9">
    <cfRule type="duplicateValues" dxfId="0" priority="9908"/>
    <cfRule type="duplicateValues" dxfId="0" priority="9910"/>
    <cfRule type="duplicateValues" dxfId="0" priority="9912"/>
    <cfRule type="duplicateValues" dxfId="0" priority="9914"/>
    <cfRule type="duplicateValues" dxfId="0" priority="9916"/>
    <cfRule type="duplicateValues" dxfId="0" priority="9918"/>
    <cfRule type="duplicateValues" dxfId="0" priority="9920"/>
    <cfRule type="duplicateValues" dxfId="0" priority="9922"/>
    <cfRule type="duplicateValues" dxfId="0" priority="9924"/>
    <cfRule type="duplicateValues" dxfId="0" priority="9926"/>
    <cfRule type="duplicateValues" dxfId="0" priority="9928"/>
    <cfRule type="duplicateValues" dxfId="0" priority="9930"/>
    <cfRule type="duplicateValues" dxfId="0" priority="9932"/>
    <cfRule type="duplicateValues" dxfId="0" priority="9934"/>
    <cfRule type="duplicateValues" dxfId="0" priority="9936"/>
    <cfRule type="duplicateValues" dxfId="0" priority="9938"/>
    <cfRule type="duplicateValues" dxfId="0" priority="9940"/>
    <cfRule type="duplicateValues" dxfId="0" priority="9942"/>
    <cfRule type="duplicateValues" dxfId="0" priority="9944"/>
    <cfRule type="duplicateValues" dxfId="0" priority="9946"/>
  </conditionalFormatting>
  <conditionalFormatting sqref="M9">
    <cfRule type="duplicateValues" dxfId="0" priority="9948"/>
    <cfRule type="duplicateValues" dxfId="0" priority="9950"/>
    <cfRule type="duplicateValues" dxfId="0" priority="9952"/>
    <cfRule type="duplicateValues" dxfId="0" priority="9954"/>
    <cfRule type="duplicateValues" dxfId="0" priority="9956"/>
    <cfRule type="duplicateValues" dxfId="0" priority="9958"/>
    <cfRule type="duplicateValues" dxfId="0" priority="9960"/>
    <cfRule type="duplicateValues" dxfId="0" priority="9962"/>
    <cfRule type="duplicateValues" dxfId="0" priority="9964"/>
    <cfRule type="duplicateValues" dxfId="0" priority="9966"/>
    <cfRule type="duplicateValues" dxfId="0" priority="9968"/>
    <cfRule type="duplicateValues" dxfId="0" priority="9970"/>
    <cfRule type="duplicateValues" dxfId="0" priority="9972"/>
    <cfRule type="duplicateValues" dxfId="0" priority="9974"/>
    <cfRule type="duplicateValues" dxfId="0" priority="9976"/>
    <cfRule type="duplicateValues" dxfId="0" priority="9978"/>
    <cfRule type="duplicateValues" dxfId="0" priority="9980"/>
    <cfRule type="duplicateValues" dxfId="0" priority="9982"/>
    <cfRule type="duplicateValues" dxfId="0" priority="9984"/>
    <cfRule type="duplicateValues" dxfId="0" priority="9986"/>
  </conditionalFormatting>
  <conditionalFormatting sqref="A10">
    <cfRule type="duplicateValues" dxfId="0" priority="9887"/>
  </conditionalFormatting>
  <conditionalFormatting sqref="H10"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</conditionalFormatting>
  <conditionalFormatting sqref="J10"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</conditionalFormatting>
  <conditionalFormatting sqref="L10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M10"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</conditionalFormatting>
  <conditionalFormatting sqref="A11">
    <cfRule type="duplicateValues" dxfId="0" priority="9645"/>
  </conditionalFormatting>
  <conditionalFormatting sqref="H11"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  <cfRule type="duplicateValues" dxfId="0" priority="9705"/>
  </conditionalFormatting>
  <conditionalFormatting sqref="J11"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</conditionalFormatting>
  <conditionalFormatting sqref="L11"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</conditionalFormatting>
  <conditionalFormatting sqref="M11"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</conditionalFormatting>
  <conditionalFormatting sqref="XEZ11">
    <cfRule type="duplicateValues" dxfId="0" priority="9644"/>
  </conditionalFormatting>
  <conditionalFormatting sqref="A12">
    <cfRule type="duplicateValues" dxfId="0" priority="9641"/>
  </conditionalFormatting>
  <conditionalFormatting sqref="H12"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  <cfRule type="duplicateValues" dxfId="0" priority="9703"/>
  </conditionalFormatting>
  <conditionalFormatting sqref="J12"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</conditionalFormatting>
  <conditionalFormatting sqref="L12"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</conditionalFormatting>
  <conditionalFormatting sqref="M12"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</conditionalFormatting>
  <conditionalFormatting sqref="XEZ12">
    <cfRule type="duplicateValues" dxfId="0" priority="9640"/>
  </conditionalFormatting>
  <conditionalFormatting sqref="A13">
    <cfRule type="duplicateValues" dxfId="0" priority="9439"/>
  </conditionalFormatting>
  <conditionalFormatting sqref="H13"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</conditionalFormatting>
  <conditionalFormatting sqref="J13"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</conditionalFormatting>
  <conditionalFormatting sqref="L13"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</conditionalFormatting>
  <conditionalFormatting sqref="M13"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</conditionalFormatting>
  <conditionalFormatting sqref="XEZ13">
    <cfRule type="duplicateValues" dxfId="0" priority="9438"/>
  </conditionalFormatting>
  <conditionalFormatting sqref="A14">
    <cfRule type="duplicateValues" dxfId="0" priority="8997"/>
  </conditionalFormatting>
  <conditionalFormatting sqref="H14"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  <cfRule type="duplicateValues" dxfId="0" priority="9297"/>
  </conditionalFormatting>
  <conditionalFormatting sqref="J14"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</conditionalFormatting>
  <conditionalFormatting sqref="L14"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</conditionalFormatting>
  <conditionalFormatting sqref="M14"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</conditionalFormatting>
  <conditionalFormatting sqref="XEZ14">
    <cfRule type="duplicateValues" dxfId="0" priority="8982"/>
  </conditionalFormatting>
  <conditionalFormatting sqref="A15">
    <cfRule type="duplicateValues" dxfId="0" priority="8996"/>
  </conditionalFormatting>
  <conditionalFormatting sqref="H15"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  <cfRule type="duplicateValues" dxfId="0" priority="9296"/>
  </conditionalFormatting>
  <conditionalFormatting sqref="J15"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</conditionalFormatting>
  <conditionalFormatting sqref="L15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M15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XEZ15">
    <cfRule type="duplicateValues" dxfId="0" priority="8981"/>
  </conditionalFormatting>
  <conditionalFormatting sqref="A16">
    <cfRule type="duplicateValues" dxfId="0" priority="8995"/>
  </conditionalFormatting>
  <conditionalFormatting sqref="H16"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  <cfRule type="duplicateValues" dxfId="0" priority="9295"/>
  </conditionalFormatting>
  <conditionalFormatting sqref="J16"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</conditionalFormatting>
  <conditionalFormatting sqref="L16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M16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XEZ16">
    <cfRule type="duplicateValues" dxfId="0" priority="8980"/>
  </conditionalFormatting>
  <conditionalFormatting sqref="A17">
    <cfRule type="duplicateValues" dxfId="0" priority="8994"/>
  </conditionalFormatting>
  <conditionalFormatting sqref="H17"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  <cfRule type="duplicateValues" dxfId="0" priority="9294"/>
  </conditionalFormatting>
  <conditionalFormatting sqref="J17"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</conditionalFormatting>
  <conditionalFormatting sqref="L17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M17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XEZ17">
    <cfRule type="duplicateValues" dxfId="0" priority="8979"/>
  </conditionalFormatting>
  <conditionalFormatting sqref="A18">
    <cfRule type="duplicateValues" dxfId="0" priority="8993"/>
  </conditionalFormatting>
  <conditionalFormatting sqref="H18"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  <cfRule type="duplicateValues" dxfId="0" priority="9293"/>
  </conditionalFormatting>
  <conditionalFormatting sqref="J18"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</conditionalFormatting>
  <conditionalFormatting sqref="L18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M18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XEZ18">
    <cfRule type="duplicateValues" dxfId="0" priority="8978"/>
  </conditionalFormatting>
  <conditionalFormatting sqref="A19">
    <cfRule type="duplicateValues" dxfId="0" priority="8992"/>
  </conditionalFormatting>
  <conditionalFormatting sqref="H19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9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9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9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9">
    <cfRule type="duplicateValues" dxfId="0" priority="8977"/>
  </conditionalFormatting>
  <conditionalFormatting sqref="A20">
    <cfRule type="duplicateValues" dxfId="0" priority="8991"/>
  </conditionalFormatting>
  <conditionalFormatting sqref="H20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20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20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20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20">
    <cfRule type="duplicateValues" dxfId="0" priority="8976"/>
  </conditionalFormatting>
  <conditionalFormatting sqref="A21">
    <cfRule type="duplicateValues" dxfId="0" priority="8990"/>
  </conditionalFormatting>
  <conditionalFormatting sqref="H21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21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21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21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21">
    <cfRule type="duplicateValues" dxfId="0" priority="8975"/>
  </conditionalFormatting>
  <conditionalFormatting sqref="A22">
    <cfRule type="duplicateValues" dxfId="0" priority="8989"/>
  </conditionalFormatting>
  <conditionalFormatting sqref="H22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22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22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22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22">
    <cfRule type="duplicateValues" dxfId="0" priority="8974"/>
  </conditionalFormatting>
  <conditionalFormatting sqref="A23">
    <cfRule type="duplicateValues" dxfId="0" priority="8988"/>
  </conditionalFormatting>
  <conditionalFormatting sqref="H23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23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23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23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23">
    <cfRule type="duplicateValues" dxfId="0" priority="8973"/>
  </conditionalFormatting>
  <conditionalFormatting sqref="A24">
    <cfRule type="duplicateValues" dxfId="0" priority="8987"/>
  </conditionalFormatting>
  <conditionalFormatting sqref="H24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24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24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24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24">
    <cfRule type="duplicateValues" dxfId="0" priority="8972"/>
  </conditionalFormatting>
  <conditionalFormatting sqref="A25">
    <cfRule type="duplicateValues" dxfId="0" priority="8986"/>
  </conditionalFormatting>
  <conditionalFormatting sqref="H25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25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25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25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25">
    <cfRule type="duplicateValues" dxfId="0" priority="8971"/>
  </conditionalFormatting>
  <conditionalFormatting sqref="A26">
    <cfRule type="duplicateValues" dxfId="0" priority="8985"/>
  </conditionalFormatting>
  <conditionalFormatting sqref="H26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6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6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6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6">
    <cfRule type="duplicateValues" dxfId="0" priority="8970"/>
  </conditionalFormatting>
  <conditionalFormatting sqref="A27">
    <cfRule type="duplicateValues" dxfId="0" priority="7440"/>
  </conditionalFormatting>
  <conditionalFormatting sqref="H27"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  <cfRule type="duplicateValues" dxfId="0" priority="7497"/>
    <cfRule type="duplicateValues" dxfId="0" priority="7500"/>
  </conditionalFormatting>
  <conditionalFormatting sqref="J27"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  <cfRule type="duplicateValues" dxfId="0" priority="7432"/>
    <cfRule type="duplicateValues" dxfId="0" priority="7435"/>
  </conditionalFormatting>
  <conditionalFormatting sqref="L27"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</conditionalFormatting>
  <conditionalFormatting sqref="M27"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</conditionalFormatting>
  <conditionalFormatting sqref="XEZ27">
    <cfRule type="duplicateValues" dxfId="0" priority="7438"/>
  </conditionalFormatting>
  <conditionalFormatting sqref="A28">
    <cfRule type="duplicateValues" dxfId="0" priority="7439"/>
  </conditionalFormatting>
  <conditionalFormatting sqref="H28"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  <cfRule type="duplicateValues" dxfId="0" priority="7496"/>
    <cfRule type="duplicateValues" dxfId="0" priority="7499"/>
  </conditionalFormatting>
  <conditionalFormatting sqref="J28"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  <cfRule type="duplicateValues" dxfId="0" priority="7431"/>
    <cfRule type="duplicateValues" dxfId="0" priority="7434"/>
  </conditionalFormatting>
  <conditionalFormatting sqref="L28"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</conditionalFormatting>
  <conditionalFormatting sqref="M28"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</conditionalFormatting>
  <conditionalFormatting sqref="XEZ28">
    <cfRule type="duplicateValues" dxfId="0" priority="7437"/>
  </conditionalFormatting>
  <conditionalFormatting sqref="A29">
    <cfRule type="duplicateValues" dxfId="0" priority="7255"/>
  </conditionalFormatting>
  <conditionalFormatting sqref="H29"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  <cfRule type="duplicateValues" dxfId="0" priority="7498"/>
  </conditionalFormatting>
  <conditionalFormatting sqref="J29"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  <cfRule type="duplicateValues" dxfId="0" priority="7433"/>
  </conditionalFormatting>
  <conditionalFormatting sqref="L29"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</conditionalFormatting>
  <conditionalFormatting sqref="M29"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</conditionalFormatting>
  <conditionalFormatting sqref="XEZ29">
    <cfRule type="duplicateValues" dxfId="0" priority="7436"/>
  </conditionalFormatting>
  <conditionalFormatting sqref="A30">
    <cfRule type="duplicateValues" dxfId="0" priority="8984"/>
  </conditionalFormatting>
  <conditionalFormatting sqref="H30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30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30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30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30">
    <cfRule type="duplicateValues" dxfId="0" priority="8969"/>
  </conditionalFormatting>
  <conditionalFormatting sqref="A31">
    <cfRule type="duplicateValues" dxfId="0" priority="8983"/>
  </conditionalFormatting>
  <conditionalFormatting sqref="H31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31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31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31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31">
    <cfRule type="duplicateValues" dxfId="0" priority="8968"/>
  </conditionalFormatting>
  <conditionalFormatting sqref="H32"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</conditionalFormatting>
  <conditionalFormatting sqref="J32"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</conditionalFormatting>
  <conditionalFormatting sqref="L32"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</conditionalFormatting>
  <conditionalFormatting sqref="M32"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</conditionalFormatting>
  <conditionalFormatting sqref="XEZ32">
    <cfRule type="duplicateValues" dxfId="0" priority="7927"/>
  </conditionalFormatting>
  <conditionalFormatting sqref="H33"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</conditionalFormatting>
  <conditionalFormatting sqref="J33"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</conditionalFormatting>
  <conditionalFormatting sqref="L33"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</conditionalFormatting>
  <conditionalFormatting sqref="M33"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</conditionalFormatting>
  <conditionalFormatting sqref="XEZ33">
    <cfRule type="duplicateValues" dxfId="0" priority="7926"/>
  </conditionalFormatting>
  <conditionalFormatting sqref="H34"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</conditionalFormatting>
  <conditionalFormatting sqref="J34"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</conditionalFormatting>
  <conditionalFormatting sqref="L34"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</conditionalFormatting>
  <conditionalFormatting sqref="M34"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</conditionalFormatting>
  <conditionalFormatting sqref="XEZ34">
    <cfRule type="duplicateValues" dxfId="0" priority="7925"/>
  </conditionalFormatting>
  <conditionalFormatting sqref="H35"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</conditionalFormatting>
  <conditionalFormatting sqref="J35"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</conditionalFormatting>
  <conditionalFormatting sqref="L35"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</conditionalFormatting>
  <conditionalFormatting sqref="M35"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</conditionalFormatting>
  <conditionalFormatting sqref="XEZ35">
    <cfRule type="duplicateValues" dxfId="0" priority="7924"/>
  </conditionalFormatting>
  <conditionalFormatting sqref="H36"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</conditionalFormatting>
  <conditionalFormatting sqref="J36"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</conditionalFormatting>
  <conditionalFormatting sqref="L36"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</conditionalFormatting>
  <conditionalFormatting sqref="M36"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</conditionalFormatting>
  <conditionalFormatting sqref="XEZ36">
    <cfRule type="duplicateValues" dxfId="0" priority="7923"/>
  </conditionalFormatting>
  <conditionalFormatting sqref="H37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7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7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7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7">
    <cfRule type="duplicateValues" dxfId="0" priority="7922"/>
  </conditionalFormatting>
  <conditionalFormatting sqref="H38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8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8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8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8">
    <cfRule type="duplicateValues" dxfId="0" priority="7921"/>
  </conditionalFormatting>
  <conditionalFormatting sqref="H39"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  <cfRule type="duplicateValues" dxfId="0" priority="7254"/>
  </conditionalFormatting>
  <conditionalFormatting sqref="J39"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  <cfRule type="duplicateValues" dxfId="0" priority="7149"/>
  </conditionalFormatting>
  <conditionalFormatting sqref="L39"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  <cfRule type="duplicateValues" dxfId="0" priority="6949"/>
  </conditionalFormatting>
  <conditionalFormatting sqref="M39"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  <cfRule type="duplicateValues" dxfId="0" priority="7049"/>
  </conditionalFormatting>
  <conditionalFormatting sqref="XEZ39">
    <cfRule type="duplicateValues" dxfId="0" priority="7154"/>
  </conditionalFormatting>
  <conditionalFormatting sqref="H40"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  <cfRule type="duplicateValues" dxfId="0" priority="7253"/>
  </conditionalFormatting>
  <conditionalFormatting sqref="J40"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  <cfRule type="duplicateValues" dxfId="0" priority="7148"/>
  </conditionalFormatting>
  <conditionalFormatting sqref="L40"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  <cfRule type="duplicateValues" dxfId="0" priority="6948"/>
  </conditionalFormatting>
  <conditionalFormatting sqref="M40"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  <cfRule type="duplicateValues" dxfId="0" priority="7048"/>
  </conditionalFormatting>
  <conditionalFormatting sqref="XEZ40">
    <cfRule type="duplicateValues" dxfId="0" priority="7153"/>
  </conditionalFormatting>
  <conditionalFormatting sqref="H41"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  <cfRule type="duplicateValues" dxfId="0" priority="7252"/>
  </conditionalFormatting>
  <conditionalFormatting sqref="J41"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  <cfRule type="duplicateValues" dxfId="0" priority="7147"/>
  </conditionalFormatting>
  <conditionalFormatting sqref="L41"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  <cfRule type="duplicateValues" dxfId="0" priority="6947"/>
  </conditionalFormatting>
  <conditionalFormatting sqref="M41"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  <cfRule type="duplicateValues" dxfId="0" priority="7047"/>
  </conditionalFormatting>
  <conditionalFormatting sqref="XEZ41">
    <cfRule type="duplicateValues" dxfId="0" priority="7152"/>
  </conditionalFormatting>
  <conditionalFormatting sqref="H42"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  <cfRule type="duplicateValues" dxfId="0" priority="7251"/>
  </conditionalFormatting>
  <conditionalFormatting sqref="J42"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  <cfRule type="duplicateValues" dxfId="0" priority="7146"/>
  </conditionalFormatting>
  <conditionalFormatting sqref="L42"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  <cfRule type="duplicateValues" dxfId="0" priority="6946"/>
  </conditionalFormatting>
  <conditionalFormatting sqref="M42"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  <cfRule type="duplicateValues" dxfId="0" priority="7046"/>
  </conditionalFormatting>
  <conditionalFormatting sqref="XEZ42">
    <cfRule type="duplicateValues" dxfId="0" priority="7151"/>
  </conditionalFormatting>
  <conditionalFormatting sqref="H43"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  <cfRule type="duplicateValues" dxfId="0" priority="7250"/>
  </conditionalFormatting>
  <conditionalFormatting sqref="J43"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  <cfRule type="duplicateValues" dxfId="0" priority="7145"/>
  </conditionalFormatting>
  <conditionalFormatting sqref="L43"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  <cfRule type="duplicateValues" dxfId="0" priority="6945"/>
  </conditionalFormatting>
  <conditionalFormatting sqref="M43"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  <cfRule type="duplicateValues" dxfId="0" priority="7045"/>
  </conditionalFormatting>
  <conditionalFormatting sqref="XEZ43">
    <cfRule type="duplicateValues" dxfId="0" priority="7150"/>
  </conditionalFormatting>
  <conditionalFormatting sqref="H44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44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44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44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44">
    <cfRule type="duplicateValues" dxfId="0" priority="6549"/>
  </conditionalFormatting>
  <conditionalFormatting sqref="H45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45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45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45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45">
    <cfRule type="duplicateValues" dxfId="0" priority="6548"/>
  </conditionalFormatting>
  <conditionalFormatting sqref="H46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6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6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6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6">
    <cfRule type="duplicateValues" dxfId="0" priority="6547"/>
  </conditionalFormatting>
  <conditionalFormatting sqref="H47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7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7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7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7">
    <cfRule type="duplicateValues" dxfId="0" priority="6546"/>
  </conditionalFormatting>
  <conditionalFormatting sqref="H48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8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8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8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8">
    <cfRule type="duplicateValues" dxfId="0" priority="6545"/>
  </conditionalFormatting>
  <conditionalFormatting sqref="H49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9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9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9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9">
    <cfRule type="duplicateValues" dxfId="0" priority="6544"/>
  </conditionalFormatting>
  <conditionalFormatting sqref="H50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50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50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50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50">
    <cfRule type="duplicateValues" dxfId="0" priority="6543"/>
  </conditionalFormatting>
  <conditionalFormatting sqref="H51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51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51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51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51">
    <cfRule type="duplicateValues" dxfId="0" priority="6542"/>
  </conditionalFormatting>
  <conditionalFormatting sqref="H52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2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2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2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2">
    <cfRule type="duplicateValues" dxfId="0" priority="6541"/>
  </conditionalFormatting>
  <conditionalFormatting sqref="H53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3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3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3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3">
    <cfRule type="duplicateValues" dxfId="0" priority="6540"/>
  </conditionalFormatting>
  <conditionalFormatting sqref="H54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4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4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4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4">
    <cfRule type="duplicateValues" dxfId="0" priority="6539"/>
  </conditionalFormatting>
  <conditionalFormatting sqref="H55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5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5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5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5">
    <cfRule type="duplicateValues" dxfId="0" priority="6538"/>
  </conditionalFormatting>
  <conditionalFormatting sqref="H56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6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6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6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6">
    <cfRule type="duplicateValues" dxfId="0" priority="6537"/>
  </conditionalFormatting>
  <conditionalFormatting sqref="H57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7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7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7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7">
    <cfRule type="duplicateValues" dxfId="0" priority="6536"/>
  </conditionalFormatting>
  <conditionalFormatting sqref="H58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8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8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8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8">
    <cfRule type="duplicateValues" dxfId="0" priority="6535"/>
  </conditionalFormatting>
  <conditionalFormatting sqref="H59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9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9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9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9">
    <cfRule type="duplicateValues" dxfId="0" priority="5613"/>
  </conditionalFormatting>
  <conditionalFormatting sqref="XFA59">
    <cfRule type="duplicateValues" dxfId="0" priority="5614"/>
  </conditionalFormatting>
  <conditionalFormatting sqref="H60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60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60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60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60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60">
    <cfRule type="duplicateValues" dxfId="0" priority="5531"/>
  </conditionalFormatting>
  <conditionalFormatting sqref="XFA60">
    <cfRule type="duplicateValues" dxfId="0" priority="5532"/>
  </conditionalFormatting>
  <conditionalFormatting sqref="A61">
    <cfRule type="duplicateValues" dxfId="0" priority="5430"/>
  </conditionalFormatting>
  <conditionalFormatting sqref="H61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61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61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61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61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61">
    <cfRule type="duplicateValues" dxfId="0" priority="5428"/>
  </conditionalFormatting>
  <conditionalFormatting sqref="XFA61">
    <cfRule type="duplicateValues" dxfId="0" priority="5429"/>
  </conditionalFormatting>
  <conditionalFormatting sqref="A62">
    <cfRule type="duplicateValues" dxfId="0" priority="5327"/>
  </conditionalFormatting>
  <conditionalFormatting sqref="H62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62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62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62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62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62">
    <cfRule type="duplicateValues" dxfId="0" priority="5325"/>
  </conditionalFormatting>
  <conditionalFormatting sqref="XFA62">
    <cfRule type="duplicateValues" dxfId="0" priority="5326"/>
  </conditionalFormatting>
  <conditionalFormatting sqref="A63">
    <cfRule type="duplicateValues" dxfId="0" priority="5124"/>
  </conditionalFormatting>
  <conditionalFormatting sqref="H63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63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63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63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63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63">
    <cfRule type="duplicateValues" dxfId="0" priority="5112"/>
  </conditionalFormatting>
  <conditionalFormatting sqref="XFA63">
    <cfRule type="duplicateValues" dxfId="0" priority="5118"/>
  </conditionalFormatting>
  <conditionalFormatting sqref="A64">
    <cfRule type="duplicateValues" dxfId="0" priority="5123"/>
  </conditionalFormatting>
  <conditionalFormatting sqref="H64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64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64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64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64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64">
    <cfRule type="duplicateValues" dxfId="0" priority="5111"/>
  </conditionalFormatting>
  <conditionalFormatting sqref="XFA64">
    <cfRule type="duplicateValues" dxfId="0" priority="5117"/>
  </conditionalFormatting>
  <conditionalFormatting sqref="A65">
    <cfRule type="duplicateValues" dxfId="0" priority="5122"/>
  </conditionalFormatting>
  <conditionalFormatting sqref="H65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65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65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65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65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65">
    <cfRule type="duplicateValues" dxfId="0" priority="5110"/>
  </conditionalFormatting>
  <conditionalFormatting sqref="XFA65">
    <cfRule type="duplicateValues" dxfId="0" priority="5116"/>
  </conditionalFormatting>
  <conditionalFormatting sqref="A66">
    <cfRule type="duplicateValues" dxfId="0" priority="5121"/>
  </conditionalFormatting>
  <conditionalFormatting sqref="H66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6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6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6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6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6">
    <cfRule type="duplicateValues" dxfId="0" priority="5109"/>
  </conditionalFormatting>
  <conditionalFormatting sqref="XFA66">
    <cfRule type="duplicateValues" dxfId="0" priority="5115"/>
  </conditionalFormatting>
  <conditionalFormatting sqref="A67">
    <cfRule type="duplicateValues" dxfId="0" priority="5120"/>
  </conditionalFormatting>
  <conditionalFormatting sqref="H67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7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7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7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7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7">
    <cfRule type="duplicateValues" dxfId="0" priority="5108"/>
  </conditionalFormatting>
  <conditionalFormatting sqref="XFA67">
    <cfRule type="duplicateValues" dxfId="0" priority="5114"/>
  </conditionalFormatting>
  <conditionalFormatting sqref="A68">
    <cfRule type="duplicateValues" dxfId="0" priority="5119"/>
  </conditionalFormatting>
  <conditionalFormatting sqref="H68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8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8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8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8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8">
    <cfRule type="duplicateValues" dxfId="0" priority="5107"/>
  </conditionalFormatting>
  <conditionalFormatting sqref="XFA68">
    <cfRule type="duplicateValues" dxfId="0" priority="5113"/>
  </conditionalFormatting>
  <conditionalFormatting sqref="A69">
    <cfRule type="duplicateValues" dxfId="0" priority="4506"/>
  </conditionalFormatting>
  <conditionalFormatting sqref="H69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9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9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9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9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9">
    <cfRule type="duplicateValues" dxfId="0" priority="4494"/>
  </conditionalFormatting>
  <conditionalFormatting sqref="XFA69">
    <cfRule type="duplicateValues" dxfId="0" priority="4500"/>
  </conditionalFormatting>
  <conditionalFormatting sqref="A70">
    <cfRule type="duplicateValues" dxfId="0" priority="4505"/>
  </conditionalFormatting>
  <conditionalFormatting sqref="H70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70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70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70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70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70">
    <cfRule type="duplicateValues" dxfId="0" priority="4493"/>
  </conditionalFormatting>
  <conditionalFormatting sqref="XFA70">
    <cfRule type="duplicateValues" dxfId="0" priority="4499"/>
  </conditionalFormatting>
  <conditionalFormatting sqref="A71">
    <cfRule type="duplicateValues" dxfId="0" priority="4504"/>
  </conditionalFormatting>
  <conditionalFormatting sqref="H71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71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71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71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71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71">
    <cfRule type="duplicateValues" dxfId="0" priority="4492"/>
  </conditionalFormatting>
  <conditionalFormatting sqref="XFA71">
    <cfRule type="duplicateValues" dxfId="0" priority="4498"/>
  </conditionalFormatting>
  <conditionalFormatting sqref="A72">
    <cfRule type="duplicateValues" dxfId="0" priority="4503"/>
  </conditionalFormatting>
  <conditionalFormatting sqref="H72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72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72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72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72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72">
    <cfRule type="duplicateValues" dxfId="0" priority="4491"/>
  </conditionalFormatting>
  <conditionalFormatting sqref="XFA72">
    <cfRule type="duplicateValues" dxfId="0" priority="4497"/>
  </conditionalFormatting>
  <conditionalFormatting sqref="A73">
    <cfRule type="duplicateValues" dxfId="0" priority="4502"/>
  </conditionalFormatting>
  <conditionalFormatting sqref="H73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73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73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73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73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73">
    <cfRule type="duplicateValues" dxfId="0" priority="4490"/>
  </conditionalFormatting>
  <conditionalFormatting sqref="XFA73">
    <cfRule type="duplicateValues" dxfId="0" priority="4496"/>
  </conditionalFormatting>
  <conditionalFormatting sqref="A74">
    <cfRule type="duplicateValues" dxfId="0" priority="4501"/>
  </conditionalFormatting>
  <conditionalFormatting sqref="H74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74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74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74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74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74">
    <cfRule type="duplicateValues" dxfId="0" priority="4489"/>
  </conditionalFormatting>
  <conditionalFormatting sqref="XFA74">
    <cfRule type="duplicateValues" dxfId="0" priority="4495"/>
  </conditionalFormatting>
  <conditionalFormatting sqref="A75">
    <cfRule type="duplicateValues" dxfId="0" priority="3708"/>
  </conditionalFormatting>
  <conditionalFormatting sqref="H75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75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75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75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75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75">
    <cfRule type="duplicateValues" dxfId="0" priority="3678"/>
  </conditionalFormatting>
  <conditionalFormatting sqref="XFA75">
    <cfRule type="duplicateValues" dxfId="0" priority="3693"/>
  </conditionalFormatting>
  <conditionalFormatting sqref="A76">
    <cfRule type="duplicateValues" dxfId="0" priority="3707"/>
  </conditionalFormatting>
  <conditionalFormatting sqref="H76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6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6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6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6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6">
    <cfRule type="duplicateValues" dxfId="0" priority="3677"/>
  </conditionalFormatting>
  <conditionalFormatting sqref="XFA76">
    <cfRule type="duplicateValues" dxfId="0" priority="3692"/>
  </conditionalFormatting>
  <conditionalFormatting sqref="A77">
    <cfRule type="duplicateValues" dxfId="0" priority="3706"/>
  </conditionalFormatting>
  <conditionalFormatting sqref="H77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7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7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7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7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7">
    <cfRule type="duplicateValues" dxfId="0" priority="3676"/>
  </conditionalFormatting>
  <conditionalFormatting sqref="XFA77">
    <cfRule type="duplicateValues" dxfId="0" priority="3691"/>
  </conditionalFormatting>
  <conditionalFormatting sqref="A78">
    <cfRule type="duplicateValues" dxfId="0" priority="3705"/>
  </conditionalFormatting>
  <conditionalFormatting sqref="H78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8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8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8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8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8">
    <cfRule type="duplicateValues" dxfId="0" priority="3675"/>
  </conditionalFormatting>
  <conditionalFormatting sqref="XFA78">
    <cfRule type="duplicateValues" dxfId="0" priority="3690"/>
  </conditionalFormatting>
  <conditionalFormatting sqref="A79">
    <cfRule type="duplicateValues" dxfId="0" priority="3704"/>
  </conditionalFormatting>
  <conditionalFormatting sqref="H79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9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9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9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9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9">
    <cfRule type="duplicateValues" dxfId="0" priority="3674"/>
  </conditionalFormatting>
  <conditionalFormatting sqref="XFA79">
    <cfRule type="duplicateValues" dxfId="0" priority="3689"/>
  </conditionalFormatting>
  <conditionalFormatting sqref="A80">
    <cfRule type="duplicateValues" dxfId="0" priority="3703"/>
  </conditionalFormatting>
  <conditionalFormatting sqref="H80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80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80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80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80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80">
    <cfRule type="duplicateValues" dxfId="0" priority="3673"/>
  </conditionalFormatting>
  <conditionalFormatting sqref="XFA80">
    <cfRule type="duplicateValues" dxfId="0" priority="3688"/>
  </conditionalFormatting>
  <conditionalFormatting sqref="A81">
    <cfRule type="duplicateValues" dxfId="0" priority="3702"/>
  </conditionalFormatting>
  <conditionalFormatting sqref="H81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81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81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81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81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81">
    <cfRule type="duplicateValues" dxfId="0" priority="3672"/>
  </conditionalFormatting>
  <conditionalFormatting sqref="XFA81">
    <cfRule type="duplicateValues" dxfId="0" priority="3687"/>
  </conditionalFormatting>
  <conditionalFormatting sqref="A82">
    <cfRule type="duplicateValues" dxfId="0" priority="3701"/>
  </conditionalFormatting>
  <conditionalFormatting sqref="H82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82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82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82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82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82">
    <cfRule type="duplicateValues" dxfId="0" priority="3671"/>
  </conditionalFormatting>
  <conditionalFormatting sqref="XFA82">
    <cfRule type="duplicateValues" dxfId="0" priority="3686"/>
  </conditionalFormatting>
  <conditionalFormatting sqref="A83">
    <cfRule type="duplicateValues" dxfId="0" priority="3700"/>
  </conditionalFormatting>
  <conditionalFormatting sqref="H83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83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83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83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83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83">
    <cfRule type="duplicateValues" dxfId="0" priority="3670"/>
  </conditionalFormatting>
  <conditionalFormatting sqref="XFA83">
    <cfRule type="duplicateValues" dxfId="0" priority="3685"/>
  </conditionalFormatting>
  <conditionalFormatting sqref="A84">
    <cfRule type="duplicateValues" dxfId="0" priority="3699"/>
  </conditionalFormatting>
  <conditionalFormatting sqref="H84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84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84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84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84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84">
    <cfRule type="duplicateValues" dxfId="0" priority="3669"/>
  </conditionalFormatting>
  <conditionalFormatting sqref="XFA84">
    <cfRule type="duplicateValues" dxfId="0" priority="3684"/>
  </conditionalFormatting>
  <conditionalFormatting sqref="A85">
    <cfRule type="duplicateValues" dxfId="0" priority="3698"/>
  </conditionalFormatting>
  <conditionalFormatting sqref="H85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85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85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85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85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85">
    <cfRule type="duplicateValues" dxfId="0" priority="3668"/>
  </conditionalFormatting>
  <conditionalFormatting sqref="XFA85">
    <cfRule type="duplicateValues" dxfId="0" priority="3683"/>
  </conditionalFormatting>
  <conditionalFormatting sqref="A86">
    <cfRule type="duplicateValues" dxfId="0" priority="3697"/>
  </conditionalFormatting>
  <conditionalFormatting sqref="H86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6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6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6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6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6">
    <cfRule type="duplicateValues" dxfId="0" priority="3667"/>
  </conditionalFormatting>
  <conditionalFormatting sqref="XFA86">
    <cfRule type="duplicateValues" dxfId="0" priority="3682"/>
  </conditionalFormatting>
  <conditionalFormatting sqref="A87">
    <cfRule type="duplicateValues" dxfId="0" priority="3696"/>
  </conditionalFormatting>
  <conditionalFormatting sqref="H87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7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7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7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7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7">
    <cfRule type="duplicateValues" dxfId="0" priority="3666"/>
  </conditionalFormatting>
  <conditionalFormatting sqref="XFA87">
    <cfRule type="duplicateValues" dxfId="0" priority="3681"/>
  </conditionalFormatting>
  <conditionalFormatting sqref="A88">
    <cfRule type="duplicateValues" dxfId="0" priority="3695"/>
  </conditionalFormatting>
  <conditionalFormatting sqref="H88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8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8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8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8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8">
    <cfRule type="duplicateValues" dxfId="0" priority="3665"/>
  </conditionalFormatting>
  <conditionalFormatting sqref="XFA88">
    <cfRule type="duplicateValues" dxfId="0" priority="3680"/>
  </conditionalFormatting>
  <conditionalFormatting sqref="A89">
    <cfRule type="duplicateValues" dxfId="0" priority="3694"/>
  </conditionalFormatting>
  <conditionalFormatting sqref="H89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9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9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9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9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9">
    <cfRule type="duplicateValues" dxfId="0" priority="3664"/>
  </conditionalFormatting>
  <conditionalFormatting sqref="XFA89">
    <cfRule type="duplicateValues" dxfId="0" priority="3679"/>
  </conditionalFormatting>
  <conditionalFormatting sqref="A90">
    <cfRule type="duplicateValues" dxfId="0" priority="2263"/>
  </conditionalFormatting>
  <conditionalFormatting sqref="H90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90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90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90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90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90">
    <cfRule type="duplicateValues" dxfId="0" priority="2243"/>
  </conditionalFormatting>
  <conditionalFormatting sqref="XFA90">
    <cfRule type="duplicateValues" dxfId="0" priority="2253"/>
  </conditionalFormatting>
  <conditionalFormatting sqref="A91">
    <cfRule type="duplicateValues" dxfId="0" priority="2262"/>
  </conditionalFormatting>
  <conditionalFormatting sqref="H91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91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91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91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91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91">
    <cfRule type="duplicateValues" dxfId="0" priority="2242"/>
  </conditionalFormatting>
  <conditionalFormatting sqref="XFA91">
    <cfRule type="duplicateValues" dxfId="0" priority="2252"/>
  </conditionalFormatting>
  <conditionalFormatting sqref="A92">
    <cfRule type="duplicateValues" dxfId="0" priority="2261"/>
  </conditionalFormatting>
  <conditionalFormatting sqref="H92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92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92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92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92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92">
    <cfRule type="duplicateValues" dxfId="0" priority="2241"/>
  </conditionalFormatting>
  <conditionalFormatting sqref="XFA92">
    <cfRule type="duplicateValues" dxfId="0" priority="2251"/>
  </conditionalFormatting>
  <conditionalFormatting sqref="A93">
    <cfRule type="duplicateValues" dxfId="0" priority="2260"/>
  </conditionalFormatting>
  <conditionalFormatting sqref="H93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93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93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93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93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93">
    <cfRule type="duplicateValues" dxfId="0" priority="2240"/>
  </conditionalFormatting>
  <conditionalFormatting sqref="XFA93">
    <cfRule type="duplicateValues" dxfId="0" priority="2250"/>
  </conditionalFormatting>
  <conditionalFormatting sqref="A94">
    <cfRule type="duplicateValues" dxfId="0" priority="2259"/>
  </conditionalFormatting>
  <conditionalFormatting sqref="H94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94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94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94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94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94">
    <cfRule type="duplicateValues" dxfId="0" priority="2239"/>
  </conditionalFormatting>
  <conditionalFormatting sqref="XFA94">
    <cfRule type="duplicateValues" dxfId="0" priority="2249"/>
  </conditionalFormatting>
  <conditionalFormatting sqref="A95">
    <cfRule type="duplicateValues" dxfId="0" priority="2258"/>
  </conditionalFormatting>
  <conditionalFormatting sqref="H95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95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95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95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95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95">
    <cfRule type="duplicateValues" dxfId="0" priority="2238"/>
  </conditionalFormatting>
  <conditionalFormatting sqref="XFA95">
    <cfRule type="duplicateValues" dxfId="0" priority="2248"/>
  </conditionalFormatting>
  <conditionalFormatting sqref="A96">
    <cfRule type="duplicateValues" dxfId="0" priority="2257"/>
  </conditionalFormatting>
  <conditionalFormatting sqref="H96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6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6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6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6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6">
    <cfRule type="duplicateValues" dxfId="0" priority="2237"/>
  </conditionalFormatting>
  <conditionalFormatting sqref="XFA96">
    <cfRule type="duplicateValues" dxfId="0" priority="2247"/>
  </conditionalFormatting>
  <conditionalFormatting sqref="A97">
    <cfRule type="duplicateValues" dxfId="0" priority="2256"/>
  </conditionalFormatting>
  <conditionalFormatting sqref="H97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7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7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7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7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7">
    <cfRule type="duplicateValues" dxfId="0" priority="2236"/>
  </conditionalFormatting>
  <conditionalFormatting sqref="XFA97">
    <cfRule type="duplicateValues" dxfId="0" priority="2246"/>
  </conditionalFormatting>
  <conditionalFormatting sqref="A98">
    <cfRule type="duplicateValues" dxfId="0" priority="2255"/>
  </conditionalFormatting>
  <conditionalFormatting sqref="H98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8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8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8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8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8">
    <cfRule type="duplicateValues" dxfId="0" priority="2235"/>
  </conditionalFormatting>
  <conditionalFormatting sqref="XFA98">
    <cfRule type="duplicateValues" dxfId="0" priority="2245"/>
  </conditionalFormatting>
  <conditionalFormatting sqref="A99">
    <cfRule type="duplicateValues" dxfId="0" priority="2254"/>
  </conditionalFormatting>
  <conditionalFormatting sqref="H99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9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9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9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9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9">
    <cfRule type="duplicateValues" dxfId="0" priority="2234"/>
  </conditionalFormatting>
  <conditionalFormatting sqref="XFA99">
    <cfRule type="duplicateValues" dxfId="0" priority="2244"/>
  </conditionalFormatting>
  <conditionalFormatting sqref="A100">
    <cfRule type="duplicateValues" dxfId="0" priority="1333"/>
  </conditionalFormatting>
  <conditionalFormatting sqref="H100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100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100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100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100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100">
    <cfRule type="duplicateValues" dxfId="0" priority="1323"/>
  </conditionalFormatting>
  <conditionalFormatting sqref="XFA100">
    <cfRule type="duplicateValues" dxfId="0" priority="1328"/>
  </conditionalFormatting>
  <conditionalFormatting sqref="A101">
    <cfRule type="duplicateValues" dxfId="0" priority="1332"/>
  </conditionalFormatting>
  <conditionalFormatting sqref="H101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101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101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101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101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101">
    <cfRule type="duplicateValues" dxfId="0" priority="1322"/>
  </conditionalFormatting>
  <conditionalFormatting sqref="XFA101">
    <cfRule type="duplicateValues" dxfId="0" priority="1327"/>
  </conditionalFormatting>
  <conditionalFormatting sqref="A102">
    <cfRule type="duplicateValues" dxfId="0" priority="1331"/>
  </conditionalFormatting>
  <conditionalFormatting sqref="H102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102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102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102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102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102">
    <cfRule type="duplicateValues" dxfId="0" priority="1321"/>
  </conditionalFormatting>
  <conditionalFormatting sqref="XFA102">
    <cfRule type="duplicateValues" dxfId="0" priority="1326"/>
  </conditionalFormatting>
  <conditionalFormatting sqref="A103">
    <cfRule type="duplicateValues" dxfId="0" priority="1330"/>
  </conditionalFormatting>
  <conditionalFormatting sqref="H103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103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103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103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103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103">
    <cfRule type="duplicateValues" dxfId="0" priority="1320"/>
  </conditionalFormatting>
  <conditionalFormatting sqref="XFA103">
    <cfRule type="duplicateValues" dxfId="0" priority="1325"/>
  </conditionalFormatting>
  <conditionalFormatting sqref="A104">
    <cfRule type="duplicateValues" dxfId="0" priority="1329"/>
  </conditionalFormatting>
  <conditionalFormatting sqref="H104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104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104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104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104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104">
    <cfRule type="duplicateValues" dxfId="0" priority="1319"/>
  </conditionalFormatting>
  <conditionalFormatting sqref="XFA104">
    <cfRule type="duplicateValues" dxfId="0" priority="1324"/>
  </conditionalFormatting>
  <conditionalFormatting sqref="A105">
    <cfRule type="duplicateValues" dxfId="0" priority="778"/>
  </conditionalFormatting>
  <conditionalFormatting sqref="H105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105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105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105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105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105">
    <cfRule type="duplicateValues" dxfId="0" priority="757"/>
  </conditionalFormatting>
  <conditionalFormatting sqref="XEY105">
    <cfRule type="duplicateValues" dxfId="0" priority="764"/>
  </conditionalFormatting>
  <conditionalFormatting sqref="XFC105">
    <cfRule type="duplicateValues" dxfId="0" priority="777"/>
  </conditionalFormatting>
  <conditionalFormatting sqref="A106">
    <cfRule type="duplicateValues" dxfId="0" priority="776"/>
  </conditionalFormatting>
  <conditionalFormatting sqref="H106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6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6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6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6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6">
    <cfRule type="duplicateValues" dxfId="0" priority="756"/>
  </conditionalFormatting>
  <conditionalFormatting sqref="XEY106">
    <cfRule type="duplicateValues" dxfId="0" priority="763"/>
  </conditionalFormatting>
  <conditionalFormatting sqref="XFC106">
    <cfRule type="duplicateValues" dxfId="0" priority="775"/>
  </conditionalFormatting>
  <conditionalFormatting sqref="A107">
    <cfRule type="duplicateValues" dxfId="0" priority="774"/>
  </conditionalFormatting>
  <conditionalFormatting sqref="H107">
    <cfRule type="duplicateValues" dxfId="0" priority="783"/>
    <cfRule type="duplicateValues" dxfId="0" priority="790"/>
    <cfRule type="duplicateValues" dxfId="0" priority="797"/>
    <cfRule type="duplicateValues" dxfId="0" priority="804"/>
    <cfRule type="duplicateValues" dxfId="0" priority="811"/>
    <cfRule type="duplicateValues" dxfId="0" priority="818"/>
    <cfRule type="duplicateValues" dxfId="0" priority="825"/>
    <cfRule type="duplicateValues" dxfId="0" priority="832"/>
    <cfRule type="duplicateValues" dxfId="0" priority="839"/>
    <cfRule type="duplicateValues" dxfId="0" priority="846"/>
    <cfRule type="duplicateValues" dxfId="0" priority="853"/>
    <cfRule type="duplicateValues" dxfId="0" priority="860"/>
    <cfRule type="duplicateValues" dxfId="0" priority="867"/>
    <cfRule type="duplicateValues" dxfId="0" priority="874"/>
    <cfRule type="duplicateValues" dxfId="0" priority="881"/>
    <cfRule type="duplicateValues" dxfId="0" priority="888"/>
    <cfRule type="duplicateValues" dxfId="0" priority="895"/>
    <cfRule type="duplicateValues" dxfId="0" priority="902"/>
    <cfRule type="duplicateValues" dxfId="0" priority="909"/>
    <cfRule type="duplicateValues" dxfId="0" priority="916"/>
  </conditionalFormatting>
  <conditionalFormatting sqref="J107"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  <cfRule type="duplicateValues" dxfId="0" priority="734"/>
    <cfRule type="duplicateValues" dxfId="0" priority="741"/>
    <cfRule type="duplicateValues" dxfId="0" priority="748"/>
  </conditionalFormatting>
  <conditionalFormatting sqref="K107"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  <cfRule type="duplicateValues" dxfId="0" priority="566"/>
    <cfRule type="duplicateValues" dxfId="0" priority="573"/>
    <cfRule type="duplicateValues" dxfId="0" priority="580"/>
    <cfRule type="duplicateValues" dxfId="0" priority="587"/>
    <cfRule type="duplicateValues" dxfId="0" priority="594"/>
    <cfRule type="duplicateValues" dxfId="0" priority="601"/>
    <cfRule type="duplicateValues" dxfId="0" priority="608"/>
  </conditionalFormatting>
  <conditionalFormatting sqref="L107"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</conditionalFormatting>
  <conditionalFormatting sqref="M107"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</conditionalFormatting>
  <conditionalFormatting sqref="XET107">
    <cfRule type="duplicateValues" dxfId="0" priority="755"/>
  </conditionalFormatting>
  <conditionalFormatting sqref="XEY107">
    <cfRule type="duplicateValues" dxfId="0" priority="762"/>
  </conditionalFormatting>
  <conditionalFormatting sqref="XFC107">
    <cfRule type="duplicateValues" dxfId="0" priority="773"/>
  </conditionalFormatting>
  <conditionalFormatting sqref="A108">
    <cfRule type="duplicateValues" dxfId="0" priority="772"/>
  </conditionalFormatting>
  <conditionalFormatting sqref="H108">
    <cfRule type="duplicateValues" dxfId="0" priority="782"/>
    <cfRule type="duplicateValues" dxfId="0" priority="789"/>
    <cfRule type="duplicateValues" dxfId="0" priority="796"/>
    <cfRule type="duplicateValues" dxfId="0" priority="803"/>
    <cfRule type="duplicateValues" dxfId="0" priority="810"/>
    <cfRule type="duplicateValues" dxfId="0" priority="817"/>
    <cfRule type="duplicateValues" dxfId="0" priority="824"/>
    <cfRule type="duplicateValues" dxfId="0" priority="831"/>
    <cfRule type="duplicateValues" dxfId="0" priority="838"/>
    <cfRule type="duplicateValues" dxfId="0" priority="845"/>
    <cfRule type="duplicateValues" dxfId="0" priority="852"/>
    <cfRule type="duplicateValues" dxfId="0" priority="859"/>
    <cfRule type="duplicateValues" dxfId="0" priority="866"/>
    <cfRule type="duplicateValues" dxfId="0" priority="873"/>
    <cfRule type="duplicateValues" dxfId="0" priority="880"/>
    <cfRule type="duplicateValues" dxfId="0" priority="887"/>
    <cfRule type="duplicateValues" dxfId="0" priority="894"/>
    <cfRule type="duplicateValues" dxfId="0" priority="901"/>
    <cfRule type="duplicateValues" dxfId="0" priority="908"/>
    <cfRule type="duplicateValues" dxfId="0" priority="915"/>
  </conditionalFormatting>
  <conditionalFormatting sqref="J108"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  <cfRule type="duplicateValues" dxfId="0" priority="733"/>
    <cfRule type="duplicateValues" dxfId="0" priority="740"/>
    <cfRule type="duplicateValues" dxfId="0" priority="747"/>
  </conditionalFormatting>
  <conditionalFormatting sqref="K108"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  <cfRule type="duplicateValues" dxfId="0" priority="565"/>
    <cfRule type="duplicateValues" dxfId="0" priority="572"/>
    <cfRule type="duplicateValues" dxfId="0" priority="579"/>
    <cfRule type="duplicateValues" dxfId="0" priority="586"/>
    <cfRule type="duplicateValues" dxfId="0" priority="593"/>
    <cfRule type="duplicateValues" dxfId="0" priority="600"/>
    <cfRule type="duplicateValues" dxfId="0" priority="607"/>
  </conditionalFormatting>
  <conditionalFormatting sqref="L108"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</conditionalFormatting>
  <conditionalFormatting sqref="M108"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</conditionalFormatting>
  <conditionalFormatting sqref="XET108">
    <cfRule type="duplicateValues" dxfId="0" priority="754"/>
  </conditionalFormatting>
  <conditionalFormatting sqref="XEY108">
    <cfRule type="duplicateValues" dxfId="0" priority="761"/>
  </conditionalFormatting>
  <conditionalFormatting sqref="XFC108">
    <cfRule type="duplicateValues" dxfId="0" priority="771"/>
  </conditionalFormatting>
  <conditionalFormatting sqref="A109">
    <cfRule type="duplicateValues" dxfId="0" priority="770"/>
  </conditionalFormatting>
  <conditionalFormatting sqref="H109">
    <cfRule type="duplicateValues" dxfId="0" priority="781"/>
    <cfRule type="duplicateValues" dxfId="0" priority="788"/>
    <cfRule type="duplicateValues" dxfId="0" priority="795"/>
    <cfRule type="duplicateValues" dxfId="0" priority="802"/>
    <cfRule type="duplicateValues" dxfId="0" priority="809"/>
    <cfRule type="duplicateValues" dxfId="0" priority="816"/>
    <cfRule type="duplicateValues" dxfId="0" priority="823"/>
    <cfRule type="duplicateValues" dxfId="0" priority="830"/>
    <cfRule type="duplicateValues" dxfId="0" priority="837"/>
    <cfRule type="duplicateValues" dxfId="0" priority="844"/>
    <cfRule type="duplicateValues" dxfId="0" priority="851"/>
    <cfRule type="duplicateValues" dxfId="0" priority="858"/>
    <cfRule type="duplicateValues" dxfId="0" priority="865"/>
    <cfRule type="duplicateValues" dxfId="0" priority="872"/>
    <cfRule type="duplicateValues" dxfId="0" priority="879"/>
    <cfRule type="duplicateValues" dxfId="0" priority="886"/>
    <cfRule type="duplicateValues" dxfId="0" priority="893"/>
    <cfRule type="duplicateValues" dxfId="0" priority="900"/>
    <cfRule type="duplicateValues" dxfId="0" priority="907"/>
    <cfRule type="duplicateValues" dxfId="0" priority="914"/>
  </conditionalFormatting>
  <conditionalFormatting sqref="J109"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  <cfRule type="duplicateValues" dxfId="0" priority="732"/>
    <cfRule type="duplicateValues" dxfId="0" priority="739"/>
    <cfRule type="duplicateValues" dxfId="0" priority="746"/>
  </conditionalFormatting>
  <conditionalFormatting sqref="K109"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  <cfRule type="duplicateValues" dxfId="0" priority="564"/>
    <cfRule type="duplicateValues" dxfId="0" priority="571"/>
    <cfRule type="duplicateValues" dxfId="0" priority="578"/>
    <cfRule type="duplicateValues" dxfId="0" priority="585"/>
    <cfRule type="duplicateValues" dxfId="0" priority="592"/>
    <cfRule type="duplicateValues" dxfId="0" priority="599"/>
    <cfRule type="duplicateValues" dxfId="0" priority="606"/>
  </conditionalFormatting>
  <conditionalFormatting sqref="L109"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</conditionalFormatting>
  <conditionalFormatting sqref="M109"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</conditionalFormatting>
  <conditionalFormatting sqref="XET109">
    <cfRule type="duplicateValues" dxfId="0" priority="753"/>
  </conditionalFormatting>
  <conditionalFormatting sqref="XEY109">
    <cfRule type="duplicateValues" dxfId="0" priority="760"/>
  </conditionalFormatting>
  <conditionalFormatting sqref="XFC109">
    <cfRule type="duplicateValues" dxfId="0" priority="769"/>
  </conditionalFormatting>
  <conditionalFormatting sqref="A110">
    <cfRule type="duplicateValues" dxfId="0" priority="768"/>
  </conditionalFormatting>
  <conditionalFormatting sqref="H110">
    <cfRule type="duplicateValues" dxfId="0" priority="780"/>
    <cfRule type="duplicateValues" dxfId="0" priority="787"/>
    <cfRule type="duplicateValues" dxfId="0" priority="794"/>
    <cfRule type="duplicateValues" dxfId="0" priority="801"/>
    <cfRule type="duplicateValues" dxfId="0" priority="808"/>
    <cfRule type="duplicateValues" dxfId="0" priority="815"/>
    <cfRule type="duplicateValues" dxfId="0" priority="822"/>
    <cfRule type="duplicateValues" dxfId="0" priority="829"/>
    <cfRule type="duplicateValues" dxfId="0" priority="836"/>
    <cfRule type="duplicateValues" dxfId="0" priority="843"/>
    <cfRule type="duplicateValues" dxfId="0" priority="850"/>
    <cfRule type="duplicateValues" dxfId="0" priority="857"/>
    <cfRule type="duplicateValues" dxfId="0" priority="864"/>
    <cfRule type="duplicateValues" dxfId="0" priority="871"/>
    <cfRule type="duplicateValues" dxfId="0" priority="878"/>
    <cfRule type="duplicateValues" dxfId="0" priority="885"/>
    <cfRule type="duplicateValues" dxfId="0" priority="892"/>
    <cfRule type="duplicateValues" dxfId="0" priority="899"/>
    <cfRule type="duplicateValues" dxfId="0" priority="906"/>
    <cfRule type="duplicateValues" dxfId="0" priority="913"/>
  </conditionalFormatting>
  <conditionalFormatting sqref="J110"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  <cfRule type="duplicateValues" dxfId="0" priority="731"/>
    <cfRule type="duplicateValues" dxfId="0" priority="738"/>
    <cfRule type="duplicateValues" dxfId="0" priority="745"/>
  </conditionalFormatting>
  <conditionalFormatting sqref="K110"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  <cfRule type="duplicateValues" dxfId="0" priority="563"/>
    <cfRule type="duplicateValues" dxfId="0" priority="570"/>
    <cfRule type="duplicateValues" dxfId="0" priority="577"/>
    <cfRule type="duplicateValues" dxfId="0" priority="584"/>
    <cfRule type="duplicateValues" dxfId="0" priority="591"/>
    <cfRule type="duplicateValues" dxfId="0" priority="598"/>
    <cfRule type="duplicateValues" dxfId="0" priority="605"/>
  </conditionalFormatting>
  <conditionalFormatting sqref="L110"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</conditionalFormatting>
  <conditionalFormatting sqref="M110"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</conditionalFormatting>
  <conditionalFormatting sqref="XET110">
    <cfRule type="duplicateValues" dxfId="0" priority="752"/>
  </conditionalFormatting>
  <conditionalFormatting sqref="XEY110">
    <cfRule type="duplicateValues" dxfId="0" priority="759"/>
  </conditionalFormatting>
  <conditionalFormatting sqref="XFC110">
    <cfRule type="duplicateValues" dxfId="0" priority="767"/>
  </conditionalFormatting>
  <conditionalFormatting sqref="A111">
    <cfRule type="duplicateValues" dxfId="0" priority="766"/>
  </conditionalFormatting>
  <conditionalFormatting sqref="H111">
    <cfRule type="duplicateValues" dxfId="0" priority="779"/>
    <cfRule type="duplicateValues" dxfId="0" priority="786"/>
    <cfRule type="duplicateValues" dxfId="0" priority="793"/>
    <cfRule type="duplicateValues" dxfId="0" priority="800"/>
    <cfRule type="duplicateValues" dxfId="0" priority="807"/>
    <cfRule type="duplicateValues" dxfId="0" priority="814"/>
    <cfRule type="duplicateValues" dxfId="0" priority="821"/>
    <cfRule type="duplicateValues" dxfId="0" priority="828"/>
    <cfRule type="duplicateValues" dxfId="0" priority="835"/>
    <cfRule type="duplicateValues" dxfId="0" priority="842"/>
    <cfRule type="duplicateValues" dxfId="0" priority="849"/>
    <cfRule type="duplicateValues" dxfId="0" priority="856"/>
    <cfRule type="duplicateValues" dxfId="0" priority="863"/>
    <cfRule type="duplicateValues" dxfId="0" priority="870"/>
    <cfRule type="duplicateValues" dxfId="0" priority="877"/>
    <cfRule type="duplicateValues" dxfId="0" priority="884"/>
    <cfRule type="duplicateValues" dxfId="0" priority="891"/>
    <cfRule type="duplicateValues" dxfId="0" priority="898"/>
    <cfRule type="duplicateValues" dxfId="0" priority="905"/>
    <cfRule type="duplicateValues" dxfId="0" priority="912"/>
  </conditionalFormatting>
  <conditionalFormatting sqref="J111"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  <cfRule type="duplicateValues" dxfId="0" priority="730"/>
    <cfRule type="duplicateValues" dxfId="0" priority="737"/>
    <cfRule type="duplicateValues" dxfId="0" priority="744"/>
  </conditionalFormatting>
  <conditionalFormatting sqref="K111"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  <cfRule type="duplicateValues" dxfId="0" priority="562"/>
    <cfRule type="duplicateValues" dxfId="0" priority="569"/>
    <cfRule type="duplicateValues" dxfId="0" priority="576"/>
    <cfRule type="duplicateValues" dxfId="0" priority="583"/>
    <cfRule type="duplicateValues" dxfId="0" priority="590"/>
    <cfRule type="duplicateValues" dxfId="0" priority="597"/>
    <cfRule type="duplicateValues" dxfId="0" priority="604"/>
  </conditionalFormatting>
  <conditionalFormatting sqref="L111"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</conditionalFormatting>
  <conditionalFormatting sqref="M111"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</conditionalFormatting>
  <conditionalFormatting sqref="XET111">
    <cfRule type="duplicateValues" dxfId="0" priority="751"/>
  </conditionalFormatting>
  <conditionalFormatting sqref="XEY111">
    <cfRule type="duplicateValues" dxfId="0" priority="758"/>
  </conditionalFormatting>
  <conditionalFormatting sqref="XFC111">
    <cfRule type="duplicateValues" dxfId="0" priority="765"/>
  </conditionalFormatting>
  <conditionalFormatting sqref="A112">
    <cfRule type="duplicateValues" dxfId="0" priority="150"/>
  </conditionalFormatting>
  <conditionalFormatting sqref="H112"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</conditionalFormatting>
  <conditionalFormatting sqref="J112"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</conditionalFormatting>
  <conditionalFormatting sqref="K112"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  <cfRule type="duplicateValues" dxfId="0" priority="82"/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</conditionalFormatting>
  <conditionalFormatting sqref="L112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XER112">
    <cfRule type="duplicateValues" dxfId="0" priority="142"/>
  </conditionalFormatting>
  <conditionalFormatting sqref="XEW112">
    <cfRule type="duplicateValues" dxfId="0" priority="144"/>
  </conditionalFormatting>
  <conditionalFormatting sqref="XFA112">
    <cfRule type="duplicateValues" dxfId="0" priority="146"/>
  </conditionalFormatting>
  <conditionalFormatting sqref="XFC112">
    <cfRule type="duplicateValues" dxfId="0" priority="149"/>
  </conditionalFormatting>
  <conditionalFormatting sqref="A113">
    <cfRule type="duplicateValues" dxfId="0" priority="148"/>
  </conditionalFormatting>
  <conditionalFormatting sqref="H113"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</conditionalFormatting>
  <conditionalFormatting sqref="J113"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</conditionalFormatting>
  <conditionalFormatting sqref="K113"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  <cfRule type="duplicateValues" dxfId="0" priority="81"/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</conditionalFormatting>
  <conditionalFormatting sqref="L113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XER113">
    <cfRule type="duplicateValues" dxfId="0" priority="141"/>
  </conditionalFormatting>
  <conditionalFormatting sqref="XEW113">
    <cfRule type="duplicateValues" dxfId="0" priority="143"/>
  </conditionalFormatting>
  <conditionalFormatting sqref="XFA113">
    <cfRule type="duplicateValues" dxfId="0" priority="145"/>
  </conditionalFormatting>
  <conditionalFormatting sqref="XFC113">
    <cfRule type="duplicateValues" dxfId="0" priority="147"/>
  </conditionalFormatting>
  <conditionalFormatting sqref="V1048302"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</conditionalFormatting>
  <conditionalFormatting sqref="V1048303"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</conditionalFormatting>
  <conditionalFormatting sqref="V1048304"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</conditionalFormatting>
  <conditionalFormatting sqref="M112:M113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A1:A3 A114:A1048576">
    <cfRule type="duplicateValues" dxfId="0" priority="10938"/>
  </conditionalFormatting>
  <conditionalFormatting sqref="H1:H3 G114:G1048576"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7"/>
  </conditionalFormatting>
  <conditionalFormatting sqref="H1:H4 G114:G1048576">
    <cfRule type="duplicateValues" dxfId="0" priority="10884"/>
  </conditionalFormatting>
  <conditionalFormatting sqref="L4:M4 P4:R4">
    <cfRule type="duplicateValues" dxfId="0" priority="10904"/>
    <cfRule type="duplicateValues" dxfId="0" priority="10903"/>
    <cfRule type="duplicateValues" dxfId="0" priority="10902"/>
    <cfRule type="duplicateValues" dxfId="0" priority="10901"/>
    <cfRule type="duplicateValues" dxfId="0" priority="10900"/>
    <cfRule type="duplicateValues" dxfId="0" priority="10899"/>
    <cfRule type="duplicateValues" dxfId="0" priority="10898"/>
    <cfRule type="duplicateValues" dxfId="0" priority="10897"/>
    <cfRule type="duplicateValues" dxfId="0" priority="10896"/>
    <cfRule type="duplicateValues" dxfId="0" priority="10895"/>
    <cfRule type="duplicateValues" dxfId="0" priority="10894"/>
    <cfRule type="duplicateValues" dxfId="0" priority="10893"/>
    <cfRule type="duplicateValues" dxfId="0" priority="10892"/>
    <cfRule type="duplicateValues" dxfId="0" priority="10891"/>
    <cfRule type="duplicateValues" dxfId="0" priority="10890"/>
    <cfRule type="duplicateValues" dxfId="0" priority="10889"/>
    <cfRule type="duplicateValues" dxfId="0" priority="10888"/>
    <cfRule type="duplicateValues" dxfId="0" priority="10887"/>
    <cfRule type="duplicateValues" dxfId="0" priority="10886"/>
    <cfRule type="duplicateValues" dxfId="0" priority="10885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2026-08-27T11:56:16Z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